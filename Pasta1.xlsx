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DIO\ANALISE DE DADOS\formatacoes condicionais\"/>
    </mc:Choice>
  </mc:AlternateContent>
  <xr:revisionPtr revIDLastSave="0" documentId="13_ncr:1_{1D38D406-A972-4133-AAC7-EE60B1FF0997}" xr6:coauthVersionLast="47" xr6:coauthVersionMax="47" xr10:uidLastSave="{00000000-0000-0000-0000-000000000000}"/>
  <bookViews>
    <workbookView xWindow="28680" yWindow="-120" windowWidth="29040" windowHeight="15720" activeTab="1" xr2:uid="{986BF425-AA31-4E0F-AF13-15D37AB0F410}"/>
  </bookViews>
  <sheets>
    <sheet name="Planilha1" sheetId="1" r:id="rId1"/>
    <sheet name="Planilha2" sheetId="2" r:id="rId2"/>
  </sheets>
  <definedNames>
    <definedName name="_xlnm._FilterDatabase" localSheetId="1" hidden="1">Planilha2!$B$4:$B$22</definedName>
    <definedName name="aporte">Planilha1!$H$20</definedName>
    <definedName name="qtd_tempo">Planilha1!$H$21</definedName>
    <definedName name="rendimento_carteira">Planilha1!$F$15</definedName>
    <definedName name="taxa_mensal">Planilha1!$H$22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H29" i="1"/>
  <c r="H30" i="1"/>
  <c r="H31" i="1"/>
  <c r="H32" i="1"/>
  <c r="H28" i="1"/>
  <c r="H24" i="1"/>
  <c r="B12" i="2"/>
  <c r="B13" i="2"/>
  <c r="B14" i="2"/>
  <c r="B15" i="2"/>
  <c r="B16" i="2"/>
  <c r="B17" i="2"/>
  <c r="B18" i="2"/>
  <c r="B19" i="2"/>
  <c r="B20" i="2"/>
  <c r="B21" i="2"/>
  <c r="B22" i="2"/>
  <c r="B11" i="2"/>
  <c r="B6" i="2"/>
  <c r="B7" i="2"/>
  <c r="B8" i="2"/>
  <c r="B9" i="2"/>
  <c r="B10" i="2"/>
  <c r="B5" i="2"/>
  <c r="H23" i="1"/>
  <c r="G29" i="1"/>
  <c r="G30" i="1"/>
  <c r="G31" i="1"/>
  <c r="G32" i="1"/>
  <c r="G28" i="1"/>
  <c r="G40" i="1" l="1"/>
  <c r="H40" i="1" s="1"/>
  <c r="G39" i="1"/>
  <c r="H39" i="1" s="1"/>
  <c r="G44" i="1"/>
  <c r="H44" i="1" s="1"/>
  <c r="G43" i="1"/>
  <c r="H43" i="1" s="1"/>
  <c r="G42" i="1"/>
  <c r="H42" i="1" s="1"/>
  <c r="G41" i="1"/>
  <c r="H41" i="1" s="1"/>
  <c r="H45" i="1" l="1"/>
</calcChain>
</file>

<file path=xl/sharedStrings.xml><?xml version="1.0" encoding="utf-8"?>
<sst xmlns="http://schemas.openxmlformats.org/spreadsheetml/2006/main" count="92" uniqueCount="37">
  <si>
    <t>Quanto investir por mês?</t>
  </si>
  <si>
    <t>Por quantos anos?</t>
  </si>
  <si>
    <t>Taxa de Rendimento mensal?</t>
  </si>
  <si>
    <t>Quanto de Patrimônio acumulado?</t>
  </si>
  <si>
    <t>Quano serão os dividendos mensais?</t>
  </si>
  <si>
    <t>INVESTIMENTO MENSAL</t>
  </si>
  <si>
    <t>CENÁRIO</t>
  </si>
  <si>
    <t>Dividendo</t>
  </si>
  <si>
    <t>Salário</t>
  </si>
  <si>
    <t>Rendimendo Carteira</t>
  </si>
  <si>
    <t>Sugestão de Investimento</t>
  </si>
  <si>
    <t>CONFIGURAÇÕES</t>
  </si>
  <si>
    <r>
      <t xml:space="preserve">Quanto em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Anos?</t>
    </r>
  </si>
  <si>
    <r>
      <t xml:space="preserve">Quanto em 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Anos?</t>
    </r>
  </si>
  <si>
    <r>
      <t xml:space="preserve">Quanto em 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Anos?</t>
    </r>
  </si>
  <si>
    <r>
      <t xml:space="preserve">Quanto em </t>
    </r>
    <r>
      <rPr>
        <b/>
        <sz val="11"/>
        <color theme="1"/>
        <rFont val="Aptos Narrow"/>
        <family val="2"/>
        <scheme val="minor"/>
      </rPr>
      <t>20</t>
    </r>
    <r>
      <rPr>
        <sz val="11"/>
        <color theme="1"/>
        <rFont val="Aptos Narrow"/>
        <family val="2"/>
        <scheme val="minor"/>
      </rPr>
      <t xml:space="preserve"> Anos?</t>
    </r>
  </si>
  <si>
    <r>
      <t xml:space="preserve">Quanto em </t>
    </r>
    <r>
      <rPr>
        <b/>
        <sz val="11"/>
        <color theme="1"/>
        <rFont val="Aptos Narrow"/>
        <family val="2"/>
        <scheme val="minor"/>
      </rPr>
      <t>30</t>
    </r>
    <r>
      <rPr>
        <sz val="11"/>
        <color theme="1"/>
        <rFont val="Aptos Narrow"/>
        <family val="2"/>
        <scheme val="minor"/>
      </rPr>
      <t xml:space="preserve"> Anos?</t>
    </r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</si>
  <si>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</si>
  <si>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</si>
  <si>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</si>
  <si>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</si>
  <si>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</si>
  <si>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</si>
  <si>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</si>
  <si>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</si>
  <si>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</si>
  <si>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</si>
  <si>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</si>
  <si>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PERFIL</t>
  </si>
  <si>
    <t>Conservador</t>
  </si>
  <si>
    <t>%</t>
  </si>
  <si>
    <t xml:space="preserve"> </t>
  </si>
  <si>
    <t>Moderado</t>
  </si>
  <si>
    <t>Agressivo</t>
  </si>
  <si>
    <t>CHAVE</t>
  </si>
  <si>
    <t>Chave</t>
  </si>
  <si>
    <t>Conservador-TIJOLO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</si>
</sst>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theme="0" tint="-0.14996795556505021"/>
      </right>
      <top style="medium">
        <color indexed="64"/>
      </top>
      <bottom/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theme="1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theme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/>
    <xf numFmtId="0" fontId="4" fillId="0" borderId="0" xfId="0" applyFont="1"/>
    <xf numFmtId="10" fontId="0" fillId="0" borderId="13" xfId="0" applyNumberFormat="1" applyBorder="1" applyAlignment="1"/>
    <xf numFmtId="164" fontId="0" fillId="0" borderId="10" xfId="1" applyNumberFormat="1" applyFont="1" applyBorder="1" applyAlignment="1"/>
    <xf numFmtId="0" fontId="0" fillId="0" borderId="13" xfId="0" applyBorder="1" applyAlignment="1"/>
    <xf numFmtId="0" fontId="0" fillId="0" borderId="0" xfId="0" applyAlignment="1">
      <alignment horizontal="right"/>
    </xf>
    <xf numFmtId="8" fontId="2" fillId="3" borderId="13" xfId="0" applyNumberFormat="1" applyFont="1" applyFill="1" applyBorder="1" applyAlignment="1"/>
    <xf numFmtId="8" fontId="2" fillId="3" borderId="16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164" fontId="0" fillId="0" borderId="27" xfId="0" applyNumberFormat="1" applyBorder="1" applyAlignment="1">
      <alignment horizontal="righ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164" fontId="0" fillId="0" borderId="16" xfId="0" applyNumberFormat="1" applyBorder="1" applyAlignment="1">
      <alignment horizontal="right"/>
    </xf>
    <xf numFmtId="0" fontId="0" fillId="0" borderId="11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9" fontId="0" fillId="0" borderId="0" xfId="0" applyNumberFormat="1"/>
    <xf numFmtId="10" fontId="0" fillId="0" borderId="13" xfId="0" applyNumberFormat="1" applyBorder="1" applyAlignment="1">
      <alignment horizontal="right"/>
    </xf>
    <xf numFmtId="0" fontId="0" fillId="4" borderId="19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left"/>
    </xf>
    <xf numFmtId="8" fontId="0" fillId="4" borderId="6" xfId="0" applyNumberFormat="1" applyFill="1" applyBorder="1" applyAlignment="1"/>
    <xf numFmtId="0" fontId="0" fillId="4" borderId="21" xfId="0" applyFont="1" applyFill="1" applyBorder="1" applyAlignment="1">
      <alignment horizontal="left"/>
    </xf>
    <xf numFmtId="0" fontId="0" fillId="4" borderId="7" xfId="0" applyFont="1" applyFill="1" applyBorder="1" applyAlignment="1">
      <alignment horizontal="left"/>
    </xf>
    <xf numFmtId="8" fontId="0" fillId="4" borderId="7" xfId="0" applyNumberFormat="1" applyFill="1" applyBorder="1" applyAlignment="1"/>
    <xf numFmtId="0" fontId="0" fillId="4" borderId="22" xfId="0" applyFont="1" applyFill="1" applyBorder="1" applyAlignment="1">
      <alignment horizontal="left"/>
    </xf>
    <xf numFmtId="0" fontId="0" fillId="4" borderId="23" xfId="0" applyFont="1" applyFill="1" applyBorder="1" applyAlignment="1">
      <alignment horizontal="left"/>
    </xf>
    <xf numFmtId="8" fontId="0" fillId="4" borderId="23" xfId="0" applyNumberFormat="1" applyFill="1" applyBorder="1" applyAlignment="1"/>
    <xf numFmtId="8" fontId="2" fillId="3" borderId="20" xfId="0" applyNumberFormat="1" applyFont="1" applyFill="1" applyBorder="1"/>
    <xf numFmtId="8" fontId="2" fillId="3" borderId="24" xfId="0" applyNumberFormat="1" applyFont="1" applyFill="1" applyBorder="1"/>
    <xf numFmtId="0" fontId="7" fillId="7" borderId="29" xfId="0" applyFont="1" applyFill="1" applyBorder="1" applyAlignment="1">
      <alignment horizontal="left"/>
    </xf>
    <xf numFmtId="0" fontId="7" fillId="7" borderId="30" xfId="0" applyFont="1" applyFill="1" applyBorder="1" applyAlignment="1">
      <alignment horizontal="left"/>
    </xf>
    <xf numFmtId="0" fontId="7" fillId="7" borderId="31" xfId="0" applyFont="1" applyFill="1" applyBorder="1" applyAlignment="1">
      <alignment horizontal="left"/>
    </xf>
    <xf numFmtId="0" fontId="0" fillId="0" borderId="32" xfId="0" applyBorder="1"/>
    <xf numFmtId="0" fontId="0" fillId="0" borderId="12" xfId="0" applyBorder="1"/>
    <xf numFmtId="9" fontId="0" fillId="0" borderId="12" xfId="0" applyNumberFormat="1" applyBorder="1" applyAlignment="1">
      <alignment horizontal="center"/>
    </xf>
    <xf numFmtId="8" fontId="0" fillId="0" borderId="33" xfId="0" applyNumberFormat="1" applyBorder="1"/>
    <xf numFmtId="0" fontId="6" fillId="3" borderId="34" xfId="0" applyFont="1" applyFill="1" applyBorder="1"/>
    <xf numFmtId="0" fontId="6" fillId="3" borderId="35" xfId="0" applyFont="1" applyFill="1" applyBorder="1"/>
    <xf numFmtId="8" fontId="6" fillId="3" borderId="36" xfId="0" applyNumberFormat="1" applyFont="1" applyFill="1" applyBorder="1"/>
    <xf numFmtId="0" fontId="7" fillId="6" borderId="29" xfId="0" applyFont="1" applyFill="1" applyBorder="1"/>
    <xf numFmtId="0" fontId="7" fillId="6" borderId="30" xfId="0" applyFont="1" applyFill="1" applyBorder="1"/>
    <xf numFmtId="0" fontId="7" fillId="6" borderId="30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8" fontId="0" fillId="3" borderId="34" xfId="0" applyNumberFormat="1" applyFill="1" applyBorder="1" applyAlignment="1"/>
    <xf numFmtId="0" fontId="0" fillId="0" borderId="35" xfId="0" applyBorder="1"/>
    <xf numFmtId="8" fontId="0" fillId="3" borderId="35" xfId="0" applyNumberFormat="1" applyFill="1" applyBorder="1" applyAlignment="1">
      <alignment horizontal="center"/>
    </xf>
    <xf numFmtId="8" fontId="0" fillId="3" borderId="36" xfId="0" applyNumberFormat="1" applyFill="1" applyBorder="1" applyAlignment="1">
      <alignment horizontal="center"/>
    </xf>
    <xf numFmtId="0" fontId="6" fillId="8" borderId="29" xfId="0" applyFont="1" applyFill="1" applyBorder="1"/>
    <xf numFmtId="0" fontId="6" fillId="8" borderId="30" xfId="0" applyFont="1" applyFill="1" applyBorder="1"/>
    <xf numFmtId="0" fontId="6" fillId="8" borderId="30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35" xfId="0" applyBorder="1" applyAlignment="1">
      <alignment horizontal="center"/>
    </xf>
    <xf numFmtId="9" fontId="0" fillId="0" borderId="36" xfId="0" applyNumberFormat="1" applyBorder="1" applyAlignment="1">
      <alignment horizontal="center"/>
    </xf>
    <xf numFmtId="0" fontId="0" fillId="0" borderId="37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38" xfId="0" applyNumberForma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0" borderId="40" xfId="0" applyBorder="1" applyAlignment="1">
      <alignment horizontal="center"/>
    </xf>
    <xf numFmtId="9" fontId="0" fillId="0" borderId="41" xfId="0" applyNumberFormat="1" applyBorder="1" applyAlignment="1">
      <alignment horizontal="center"/>
    </xf>
    <xf numFmtId="0" fontId="0" fillId="4" borderId="32" xfId="0" applyFill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33" xfId="0" applyNumberFormat="1" applyFill="1" applyBorder="1" applyAlignment="1">
      <alignment horizontal="center"/>
    </xf>
    <xf numFmtId="9" fontId="0" fillId="9" borderId="0" xfId="2" applyFont="1" applyFill="1"/>
    <xf numFmtId="0" fontId="2" fillId="10" borderId="0" xfId="0" applyFont="1" applyFill="1" applyAlignment="1">
      <alignment horizontal="center"/>
    </xf>
    <xf numFmtId="0" fontId="0" fillId="9" borderId="0" xfId="0" applyFont="1" applyFill="1"/>
  </cellXfs>
  <cellStyles count="3">
    <cellStyle name="Moeda" xfId="1" builtinId="4"/>
    <cellStyle name="Normal" xfId="0" builtinId="0"/>
    <cellStyle name="Porcentagem" xfId="2" builtinId="5"/>
  </cellStyles>
  <dxfs count="7"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Planilha1!$E$38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Planilha1!$D$39:$D$44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Planilha1!$E$39:$E$44</c:f>
            </c:numRef>
          </c:val>
          <c:extLst>
            <c:ext xmlns:c16="http://schemas.microsoft.com/office/drawing/2014/chart" uri="{C3380CC4-5D6E-409C-BE32-E72D297353CC}">
              <c16:uniqueId val="{00000000-4E10-4E10-9177-ED101726E831}"/>
            </c:ext>
          </c:extLst>
        </c:ser>
        <c:ser>
          <c:idx val="1"/>
          <c:order val="1"/>
          <c:tx>
            <c:strRef>
              <c:f>Planilha1!$F$38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Planilha1!$D$39:$D$44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Planilha1!$F$39:$F$44</c:f>
            </c:numRef>
          </c:val>
          <c:extLst>
            <c:ext xmlns:c16="http://schemas.microsoft.com/office/drawing/2014/chart" uri="{C3380CC4-5D6E-409C-BE32-E72D297353CC}">
              <c16:uniqueId val="{00000001-4E10-4E10-9177-ED101726E831}"/>
            </c:ext>
          </c:extLst>
        </c:ser>
        <c:ser>
          <c:idx val="2"/>
          <c:order val="2"/>
          <c:tx>
            <c:strRef>
              <c:f>Planilha1!$G$38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10-4E10-9177-ED101726E8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E10-4E10-9177-ED101726E8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10-4E10-9177-ED101726E8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E10-4E10-9177-ED101726E8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10-4E10-9177-ED101726E8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E10-4E10-9177-ED101726E831}"/>
              </c:ext>
            </c:extLst>
          </c:dPt>
          <c:dLbls>
            <c:dLbl>
              <c:idx val="0"/>
              <c:layout>
                <c:manualLayout>
                  <c:x val="5.1358864335537394E-2"/>
                  <c:y val="-5.21512266944928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10-4E10-9177-ED101726E831}"/>
                </c:ext>
              </c:extLst>
            </c:dLbl>
            <c:dLbl>
              <c:idx val="1"/>
              <c:layout>
                <c:manualLayout>
                  <c:x val="-5.7065404817264291E-3"/>
                  <c:y val="9.850787264515299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10-4E10-9177-ED101726E831}"/>
                </c:ext>
              </c:extLst>
            </c:dLbl>
            <c:dLbl>
              <c:idx val="2"/>
              <c:layout>
                <c:manualLayout>
                  <c:x val="-5.4212134576400582E-2"/>
                  <c:y val="3.476748446299510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10-4E10-9177-ED101726E831}"/>
                </c:ext>
              </c:extLst>
            </c:dLbl>
            <c:dLbl>
              <c:idx val="3"/>
              <c:layout>
                <c:manualLayout>
                  <c:x val="-5.7065404817263771E-2"/>
                  <c:y val="-1.158916148766501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10-4E10-9177-ED101726E831}"/>
                </c:ext>
              </c:extLst>
            </c:dLbl>
            <c:dLbl>
              <c:idx val="4"/>
              <c:layout>
                <c:manualLayout>
                  <c:x val="-4.5652323853811017E-2"/>
                  <c:y val="-8.691871115748803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10-4E10-9177-ED101726E831}"/>
                </c:ext>
              </c:extLst>
            </c:dLbl>
            <c:dLbl>
              <c:idx val="5"/>
              <c:layout>
                <c:manualLayout>
                  <c:x val="-4.2799053612947828E-2"/>
                  <c:y val="-8.11241304136555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10-4E10-9177-ED101726E8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Planilha1!$D$39:$D$44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Planilha1!$G$39:$G$44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10-4E10-9177-ED101726E8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3</xdr:col>
      <xdr:colOff>306705</xdr:colOff>
      <xdr:row>20</xdr:row>
      <xdr:rowOff>133350</xdr:rowOff>
    </xdr:to>
    <xdr:sp macro="" textlink="">
      <xdr:nvSpPr>
        <xdr:cNvPr id="1025" name="AutoShape 1" descr=", gerada com IA">
          <a:extLst>
            <a:ext uri="{FF2B5EF4-FFF2-40B4-BE49-F238E27FC236}">
              <a16:creationId xmlns:a16="http://schemas.microsoft.com/office/drawing/2014/main" id="{6ABBC3C6-FD08-A74B-319C-EFB7BD831BB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306705</xdr:colOff>
      <xdr:row>24</xdr:row>
      <xdr:rowOff>129540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B984DAE-C048-07D0-E16F-2DBA08EF45B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27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306705</xdr:colOff>
      <xdr:row>20</xdr:row>
      <xdr:rowOff>133350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3652467-CB22-68DC-0229-E476C8FAE41B}"/>
            </a:ext>
          </a:extLst>
        </xdr:cNvPr>
        <xdr:cNvSpPr>
          <a:spLocks noChangeAspect="1" noChangeArrowheads="1"/>
        </xdr:cNvSpPr>
      </xdr:nvSpPr>
      <xdr:spPr bwMode="auto">
        <a:xfrm>
          <a:off x="381000" y="3457575"/>
          <a:ext cx="30670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306705</xdr:colOff>
      <xdr:row>20</xdr:row>
      <xdr:rowOff>129540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FDBBFF6-4325-0156-255E-83366B6971D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twoCellAnchor>
  <xdr:twoCellAnchor editAs="oneCell">
    <xdr:from>
      <xdr:col>2</xdr:col>
      <xdr:colOff>447674</xdr:colOff>
      <xdr:row>0</xdr:row>
      <xdr:rowOff>0</xdr:rowOff>
    </xdr:from>
    <xdr:to>
      <xdr:col>8</xdr:col>
      <xdr:colOff>243840</xdr:colOff>
      <xdr:row>8</xdr:row>
      <xdr:rowOff>171449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4BF994E-7B3A-6B12-175C-A5DA84868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4" y="0"/>
          <a:ext cx="6657976" cy="1623059"/>
        </a:xfrm>
        <a:prstGeom prst="rect">
          <a:avLst/>
        </a:prstGeom>
      </xdr:spPr>
    </xdr:pic>
    <xdr:clientData/>
  </xdr:twoCellAnchor>
  <xdr:twoCellAnchor>
    <xdr:from>
      <xdr:col>3</xdr:col>
      <xdr:colOff>1145857</xdr:colOff>
      <xdr:row>47</xdr:row>
      <xdr:rowOff>115252</xdr:rowOff>
    </xdr:from>
    <xdr:to>
      <xdr:col>7</xdr:col>
      <xdr:colOff>339090</xdr:colOff>
      <xdr:row>59</xdr:row>
      <xdr:rowOff>131445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698320-DFB6-EBCF-B3BA-2DE719BF4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5716-4FA7-4670-9B72-D07B6B717038}">
  <dimension ref="A1:XEV46"/>
  <sheetViews>
    <sheetView showGridLines="0" topLeftCell="B15" workbookViewId="0">
      <selection activeCell="G35" sqref="G35:H35"/>
    </sheetView>
  </sheetViews>
  <sheetFormatPr defaultColWidth="0" defaultRowHeight="14.4" x14ac:dyDescent="0.3"/>
  <cols>
    <col min="1" max="1" width="2.77734375" hidden="1" customWidth="1"/>
    <col min="2" max="2" width="2.77734375" customWidth="1"/>
    <col min="3" max="3" width="10.77734375" customWidth="1"/>
    <col min="4" max="4" width="36.88671875" customWidth="1"/>
    <col min="5" max="5" width="43.5546875" hidden="1" customWidth="1"/>
    <col min="6" max="6" width="7.21875" hidden="1" customWidth="1"/>
    <col min="7" max="7" width="39.77734375" customWidth="1"/>
    <col min="8" max="8" width="12.5546875" bestFit="1" customWidth="1"/>
    <col min="9" max="9" width="11.5546875" customWidth="1"/>
    <col min="10" max="10" width="11.5546875" hidden="1" customWidth="1"/>
    <col min="11" max="11" width="15.21875" hidden="1"/>
    <col min="12" max="12" width="11.88671875" hidden="1"/>
    <col min="13" max="16375" width="8.88671875" hidden="1"/>
    <col min="16377" max="16384" width="8.88671875" hidden="1"/>
  </cols>
  <sheetData>
    <row r="1" spans="2:8" x14ac:dyDescent="0.3">
      <c r="B1" s="15"/>
    </row>
    <row r="2" spans="2:8" x14ac:dyDescent="0.3">
      <c r="B2" s="15"/>
    </row>
    <row r="3" spans="2:8" x14ac:dyDescent="0.3">
      <c r="B3" s="15"/>
    </row>
    <row r="4" spans="2:8" x14ac:dyDescent="0.3">
      <c r="B4" s="15"/>
    </row>
    <row r="5" spans="2:8" ht="14.4" customHeight="1" x14ac:dyDescent="0.3">
      <c r="B5" s="15"/>
    </row>
    <row r="6" spans="2:8" x14ac:dyDescent="0.3">
      <c r="B6" s="15"/>
    </row>
    <row r="7" spans="2:8" x14ac:dyDescent="0.3">
      <c r="B7" s="15"/>
    </row>
    <row r="8" spans="2:8" x14ac:dyDescent="0.3">
      <c r="B8" s="15"/>
    </row>
    <row r="9" spans="2:8" x14ac:dyDescent="0.3">
      <c r="B9" s="15"/>
    </row>
    <row r="10" spans="2:8" x14ac:dyDescent="0.3">
      <c r="B10" s="1"/>
    </row>
    <row r="11" spans="2:8" ht="15" thickBot="1" x14ac:dyDescent="0.35"/>
    <row r="12" spans="2:8" ht="14.4" customHeight="1" x14ac:dyDescent="0.3">
      <c r="D12" s="39" t="s">
        <v>11</v>
      </c>
      <c r="E12" s="40"/>
      <c r="F12" s="40"/>
      <c r="G12" s="40"/>
      <c r="H12" s="41"/>
    </row>
    <row r="13" spans="2:8" ht="14.4" customHeight="1" x14ac:dyDescent="0.3">
      <c r="D13" s="20"/>
      <c r="E13" s="21"/>
      <c r="F13" s="21"/>
      <c r="G13" s="21"/>
      <c r="H13" s="42"/>
    </row>
    <row r="14" spans="2:8" x14ac:dyDescent="0.3">
      <c r="D14" s="23" t="s">
        <v>8</v>
      </c>
      <c r="E14" s="24"/>
      <c r="F14" s="24"/>
      <c r="G14" s="24"/>
      <c r="H14" s="25">
        <v>4200</v>
      </c>
    </row>
    <row r="15" spans="2:8" ht="14.4" customHeight="1" x14ac:dyDescent="0.3">
      <c r="D15" s="26" t="s">
        <v>9</v>
      </c>
      <c r="E15" s="27"/>
      <c r="F15" s="27"/>
      <c r="G15" s="27"/>
      <c r="H15" s="44">
        <v>6.0000000000000001E-3</v>
      </c>
    </row>
    <row r="16" spans="2:8" ht="14.4" customHeight="1" thickBot="1" x14ac:dyDescent="0.35">
      <c r="D16" s="28" t="s">
        <v>10</v>
      </c>
      <c r="E16" s="29"/>
      <c r="F16" s="29"/>
      <c r="G16" s="29"/>
      <c r="H16" s="30">
        <v>1260</v>
      </c>
    </row>
    <row r="17" spans="2:10" ht="15" thickBot="1" x14ac:dyDescent="0.35">
      <c r="D17" s="22"/>
      <c r="E17" s="22"/>
      <c r="F17" s="22"/>
      <c r="G17" s="22"/>
    </row>
    <row r="18" spans="2:10" ht="14.4" customHeight="1" x14ac:dyDescent="0.3">
      <c r="D18" s="9" t="s">
        <v>5</v>
      </c>
      <c r="E18" s="10"/>
      <c r="F18" s="10"/>
      <c r="G18" s="10"/>
      <c r="H18" s="16"/>
    </row>
    <row r="19" spans="2:10" ht="14.4" customHeight="1" x14ac:dyDescent="0.3">
      <c r="D19" s="12"/>
      <c r="E19" s="13"/>
      <c r="F19" s="13"/>
      <c r="G19" s="13"/>
      <c r="H19" s="17"/>
      <c r="J19" s="6"/>
    </row>
    <row r="20" spans="2:10" ht="14.4" customHeight="1" x14ac:dyDescent="0.3">
      <c r="B20" s="2">
        <v>2</v>
      </c>
      <c r="D20" s="37" t="s">
        <v>0</v>
      </c>
      <c r="E20" s="38"/>
      <c r="F20" s="38"/>
      <c r="G20" s="38"/>
      <c r="H20" s="4">
        <v>1260</v>
      </c>
    </row>
    <row r="21" spans="2:10" x14ac:dyDescent="0.3">
      <c r="B21" s="2">
        <v>5</v>
      </c>
      <c r="D21" s="31" t="s">
        <v>1</v>
      </c>
      <c r="E21" s="32"/>
      <c r="F21" s="32"/>
      <c r="G21" s="32"/>
      <c r="H21" s="5">
        <v>10</v>
      </c>
    </row>
    <row r="22" spans="2:10" x14ac:dyDescent="0.3">
      <c r="B22" s="2">
        <v>10</v>
      </c>
      <c r="D22" s="31" t="s">
        <v>2</v>
      </c>
      <c r="E22" s="32"/>
      <c r="F22" s="32"/>
      <c r="G22" s="32"/>
      <c r="H22" s="3">
        <v>1.0789999999999999E-2</v>
      </c>
    </row>
    <row r="23" spans="2:10" x14ac:dyDescent="0.3">
      <c r="B23" s="2">
        <v>20</v>
      </c>
      <c r="D23" s="33" t="s">
        <v>3</v>
      </c>
      <c r="E23" s="34"/>
      <c r="F23" s="34"/>
      <c r="G23" s="34"/>
      <c r="H23" s="7">
        <f>FV(taxa_mensal,qtd_tempo*12,-aporte)</f>
        <v>306538.10778801696</v>
      </c>
    </row>
    <row r="24" spans="2:10" ht="15" thickBot="1" x14ac:dyDescent="0.35">
      <c r="B24" s="2">
        <v>30</v>
      </c>
      <c r="D24" s="35" t="s">
        <v>4</v>
      </c>
      <c r="E24" s="36"/>
      <c r="F24" s="36"/>
      <c r="G24" s="36"/>
      <c r="H24" s="8">
        <f>H23*taxa_mensal</f>
        <v>3307.5461830327026</v>
      </c>
    </row>
    <row r="25" spans="2:10" ht="15" thickBot="1" x14ac:dyDescent="0.35"/>
    <row r="26" spans="2:10" ht="15" customHeight="1" x14ac:dyDescent="0.3">
      <c r="D26" s="9" t="s">
        <v>6</v>
      </c>
      <c r="E26" s="10"/>
      <c r="F26" s="10"/>
      <c r="G26" s="11"/>
      <c r="H26" s="18" t="s">
        <v>7</v>
      </c>
    </row>
    <row r="27" spans="2:10" ht="14.4" customHeight="1" x14ac:dyDescent="0.3">
      <c r="D27" s="12"/>
      <c r="E27" s="13"/>
      <c r="F27" s="13"/>
      <c r="G27" s="14"/>
      <c r="H27" s="19"/>
    </row>
    <row r="28" spans="2:10" ht="13.8" customHeight="1" x14ac:dyDescent="0.3">
      <c r="D28" s="45" t="s">
        <v>12</v>
      </c>
      <c r="E28" s="46"/>
      <c r="F28" s="46"/>
      <c r="G28" s="47">
        <f>FV($H$22,$B20*12,$H$20*-1)</f>
        <v>34306.810395032975</v>
      </c>
      <c r="H28" s="54">
        <f>G28*$H$15</f>
        <v>205.84086237019787</v>
      </c>
    </row>
    <row r="29" spans="2:10" x14ac:dyDescent="0.3">
      <c r="D29" s="48" t="s">
        <v>13</v>
      </c>
      <c r="E29" s="49"/>
      <c r="F29" s="49"/>
      <c r="G29" s="50">
        <f>FV($H$22,$B21*12,$H$20*-1)</f>
        <v>105558.91163809443</v>
      </c>
      <c r="H29" s="54">
        <f t="shared" ref="H29:H32" si="0">G29*$H$15</f>
        <v>633.35346982856663</v>
      </c>
    </row>
    <row r="30" spans="2:10" ht="13.8" customHeight="1" x14ac:dyDescent="0.3">
      <c r="D30" s="48" t="s">
        <v>14</v>
      </c>
      <c r="E30" s="49"/>
      <c r="F30" s="49"/>
      <c r="G30" s="50">
        <f>FV($H$22,$B22*12,$H$20*-1)</f>
        <v>306538.10778801696</v>
      </c>
      <c r="H30" s="54">
        <f t="shared" si="0"/>
        <v>1839.2286467281017</v>
      </c>
    </row>
    <row r="31" spans="2:10" x14ac:dyDescent="0.3">
      <c r="D31" s="48" t="s">
        <v>15</v>
      </c>
      <c r="E31" s="49"/>
      <c r="F31" s="49"/>
      <c r="G31" s="50">
        <f>FV($H$22,$B23*12,$H$20*-1)</f>
        <v>1417749.9841223215</v>
      </c>
      <c r="H31" s="54">
        <f t="shared" si="0"/>
        <v>8506.4999047339297</v>
      </c>
    </row>
    <row r="32" spans="2:10" ht="15" thickBot="1" x14ac:dyDescent="0.35">
      <c r="D32" s="51" t="s">
        <v>16</v>
      </c>
      <c r="E32" s="52"/>
      <c r="F32" s="52"/>
      <c r="G32" s="53">
        <f>FV($H$22,$B24*12,$H$20*-1)</f>
        <v>5445933.7653059401</v>
      </c>
      <c r="H32" s="55">
        <f t="shared" si="0"/>
        <v>32675.602591835643</v>
      </c>
    </row>
    <row r="34" spans="4:8" ht="15" thickBot="1" x14ac:dyDescent="0.35"/>
    <row r="35" spans="4:8" ht="18.600000000000001" thickTop="1" x14ac:dyDescent="0.35">
      <c r="D35" s="66" t="s">
        <v>17</v>
      </c>
      <c r="E35" s="67"/>
      <c r="F35" s="67"/>
      <c r="G35" s="68" t="s">
        <v>32</v>
      </c>
      <c r="H35" s="69"/>
    </row>
    <row r="36" spans="4:8" ht="15" thickBot="1" x14ac:dyDescent="0.35">
      <c r="D36" s="70" t="s">
        <v>18</v>
      </c>
      <c r="E36" s="71"/>
      <c r="F36" s="71"/>
      <c r="G36" s="72">
        <v>500</v>
      </c>
      <c r="H36" s="73"/>
    </row>
    <row r="37" spans="4:8" ht="15.6" thickTop="1" thickBot="1" x14ac:dyDescent="0.35"/>
    <row r="38" spans="4:8" ht="18.600000000000001" thickTop="1" x14ac:dyDescent="0.35">
      <c r="D38" s="56" t="s">
        <v>19</v>
      </c>
      <c r="E38" s="57"/>
      <c r="F38" s="57"/>
      <c r="G38" s="57" t="s">
        <v>20</v>
      </c>
      <c r="H38" s="58" t="s">
        <v>21</v>
      </c>
    </row>
    <row r="39" spans="4:8" x14ac:dyDescent="0.3">
      <c r="D39" s="59" t="s">
        <v>22</v>
      </c>
      <c r="E39" s="60"/>
      <c r="F39" s="60"/>
      <c r="G39" s="61">
        <f>VLOOKUP($G$35&amp;"-"&amp;D39,Planilha2!$B$4:$E$22,4,)</f>
        <v>0.32</v>
      </c>
      <c r="H39" s="62">
        <f>$G$36*G39</f>
        <v>160</v>
      </c>
    </row>
    <row r="40" spans="4:8" x14ac:dyDescent="0.3">
      <c r="D40" s="59" t="s">
        <v>23</v>
      </c>
      <c r="E40" s="60"/>
      <c r="F40" s="60"/>
      <c r="G40" s="61">
        <f>VLOOKUP($G$35&amp;"-"&amp;D40,Planilha2!$B$4:$E$22,4,)</f>
        <v>0.35</v>
      </c>
      <c r="H40" s="62">
        <f t="shared" ref="H40:H44" si="1">$G$36*G40</f>
        <v>175</v>
      </c>
    </row>
    <row r="41" spans="4:8" x14ac:dyDescent="0.3">
      <c r="D41" s="59" t="s">
        <v>24</v>
      </c>
      <c r="E41" s="60"/>
      <c r="F41" s="60"/>
      <c r="G41" s="61">
        <f>VLOOKUP($G$35&amp;"-"&amp;D41,Planilha2!$B$4:$E$22,4,)</f>
        <v>0.08</v>
      </c>
      <c r="H41" s="62">
        <f t="shared" si="1"/>
        <v>40</v>
      </c>
    </row>
    <row r="42" spans="4:8" x14ac:dyDescent="0.3">
      <c r="D42" s="59" t="s">
        <v>25</v>
      </c>
      <c r="E42" s="60"/>
      <c r="F42" s="60"/>
      <c r="G42" s="61">
        <f>VLOOKUP($G$35&amp;"-"&amp;D42,Planilha2!$B$4:$E$22,4,)</f>
        <v>0.05</v>
      </c>
      <c r="H42" s="62">
        <f t="shared" si="1"/>
        <v>25</v>
      </c>
    </row>
    <row r="43" spans="4:8" x14ac:dyDescent="0.3">
      <c r="D43" s="59" t="s">
        <v>26</v>
      </c>
      <c r="E43" s="60"/>
      <c r="F43" s="60"/>
      <c r="G43" s="61">
        <f>VLOOKUP($G$35&amp;"-"&amp;D43,Planilha2!$B$4:$E$22,4,)</f>
        <v>0.1</v>
      </c>
      <c r="H43" s="62">
        <f t="shared" si="1"/>
        <v>50</v>
      </c>
    </row>
    <row r="44" spans="4:8" x14ac:dyDescent="0.3">
      <c r="D44" s="59" t="s">
        <v>27</v>
      </c>
      <c r="E44" s="60"/>
      <c r="F44" s="60"/>
      <c r="G44" s="61">
        <f>VLOOKUP($G$35&amp;"-"&amp;D44,Planilha2!$B$4:$E$22,4,)</f>
        <v>0.1</v>
      </c>
      <c r="H44" s="62">
        <f t="shared" si="1"/>
        <v>50</v>
      </c>
    </row>
    <row r="45" spans="4:8" ht="16.2" thickBot="1" x14ac:dyDescent="0.35">
      <c r="D45" s="63"/>
      <c r="E45" s="64"/>
      <c r="F45" s="64"/>
      <c r="G45" s="64"/>
      <c r="H45" s="65">
        <f>SUM(H39:H44)</f>
        <v>500</v>
      </c>
    </row>
    <row r="46" spans="4:8" ht="15" thickTop="1" x14ac:dyDescent="0.3"/>
  </sheetData>
  <mergeCells count="20">
    <mergeCell ref="G35:H35"/>
    <mergeCell ref="G36:H36"/>
    <mergeCell ref="H26:H27"/>
    <mergeCell ref="D20:G20"/>
    <mergeCell ref="D21:G21"/>
    <mergeCell ref="D22:G22"/>
    <mergeCell ref="D23:G23"/>
    <mergeCell ref="D24:G24"/>
    <mergeCell ref="D31:F31"/>
    <mergeCell ref="D32:F32"/>
    <mergeCell ref="B1:B9"/>
    <mergeCell ref="D28:F28"/>
    <mergeCell ref="D29:F29"/>
    <mergeCell ref="D30:F30"/>
    <mergeCell ref="D12:H13"/>
    <mergeCell ref="D18:H19"/>
    <mergeCell ref="D14:G14"/>
    <mergeCell ref="D15:G15"/>
    <mergeCell ref="D16:G16"/>
    <mergeCell ref="D26:G27"/>
  </mergeCells>
  <dataValidations count="1">
    <dataValidation type="list" allowBlank="1" showInputMessage="1" showErrorMessage="1" sqref="G35:H35" xr:uid="{09E1BE56-2CD1-41A2-B30F-69C6976B926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3E2E-5FCE-434D-BAED-5F2D5FF5F295}">
  <dimension ref="A1:K23"/>
  <sheetViews>
    <sheetView showGridLines="0" tabSelected="1" workbookViewId="0">
      <selection activeCell="H5" sqref="H5"/>
    </sheetView>
  </sheetViews>
  <sheetFormatPr defaultColWidth="0" defaultRowHeight="14.4" zeroHeight="1" x14ac:dyDescent="0.3"/>
  <cols>
    <col min="1" max="1" width="8.88671875" customWidth="1"/>
    <col min="2" max="2" width="30" bestFit="1" customWidth="1"/>
    <col min="3" max="3" width="11.77734375" bestFit="1" customWidth="1"/>
    <col min="4" max="4" width="18" bestFit="1" customWidth="1"/>
    <col min="5" max="5" width="4.5546875" bestFit="1" customWidth="1"/>
    <col min="6" max="7" width="8.88671875" customWidth="1"/>
    <col min="8" max="8" width="23.21875" bestFit="1" customWidth="1"/>
    <col min="9" max="10" width="8.88671875" customWidth="1"/>
    <col min="12" max="16384" width="8.88671875" hidden="1"/>
  </cols>
  <sheetData>
    <row r="1" spans="2:9" x14ac:dyDescent="0.3"/>
    <row r="2" spans="2:9" x14ac:dyDescent="0.3"/>
    <row r="3" spans="2:9" ht="15" thickBot="1" x14ac:dyDescent="0.35"/>
    <row r="4" spans="2:9" ht="16.2" thickTop="1" x14ac:dyDescent="0.3">
      <c r="B4" s="74" t="s">
        <v>34</v>
      </c>
      <c r="C4" s="75" t="s">
        <v>17</v>
      </c>
      <c r="D4" s="76" t="s">
        <v>28</v>
      </c>
      <c r="E4" s="77" t="s">
        <v>30</v>
      </c>
      <c r="F4" t="s">
        <v>31</v>
      </c>
      <c r="H4" s="96" t="s">
        <v>35</v>
      </c>
      <c r="I4" s="96" t="s">
        <v>30</v>
      </c>
    </row>
    <row r="5" spans="2:9" x14ac:dyDescent="0.3">
      <c r="B5" s="59" t="str">
        <f>C5&amp;"-"&amp;D5</f>
        <v>Conservador-PAPEL</v>
      </c>
      <c r="C5" s="60" t="s">
        <v>29</v>
      </c>
      <c r="D5" s="78" t="s">
        <v>22</v>
      </c>
      <c r="E5" s="79">
        <v>0.3</v>
      </c>
      <c r="H5" s="97" t="s">
        <v>36</v>
      </c>
      <c r="I5" s="95">
        <f>VLOOKUP(H5,$B$4:$E$22,4,)</f>
        <v>0.5</v>
      </c>
    </row>
    <row r="6" spans="2:9" x14ac:dyDescent="0.3">
      <c r="B6" s="59" t="str">
        <f>C6&amp;"-"&amp;D6</f>
        <v>Conservador-TIJOLO</v>
      </c>
      <c r="C6" s="60" t="s">
        <v>29</v>
      </c>
      <c r="D6" s="78" t="s">
        <v>23</v>
      </c>
      <c r="E6" s="79">
        <v>0.5</v>
      </c>
    </row>
    <row r="7" spans="2:9" x14ac:dyDescent="0.3">
      <c r="B7" s="59" t="str">
        <f>C7&amp;"-"&amp;D7</f>
        <v>Conservador-HÍBRIDOS</v>
      </c>
      <c r="C7" s="60" t="s">
        <v>29</v>
      </c>
      <c r="D7" s="78" t="s">
        <v>24</v>
      </c>
      <c r="E7" s="79">
        <v>0.1</v>
      </c>
      <c r="I7" s="43"/>
    </row>
    <row r="8" spans="2:9" x14ac:dyDescent="0.3">
      <c r="B8" s="59" t="str">
        <f>C8&amp;"-"&amp;D8</f>
        <v>Conservador-FOFs</v>
      </c>
      <c r="C8" s="60" t="s">
        <v>29</v>
      </c>
      <c r="D8" s="78" t="s">
        <v>25</v>
      </c>
      <c r="E8" s="79">
        <v>0.1</v>
      </c>
    </row>
    <row r="9" spans="2:9" x14ac:dyDescent="0.3">
      <c r="B9" s="59" t="str">
        <f>C9&amp;"-"&amp;D9</f>
        <v>Conservador-DESENVOLVIMENTO</v>
      </c>
      <c r="C9" s="60" t="s">
        <v>29</v>
      </c>
      <c r="D9" s="78" t="s">
        <v>26</v>
      </c>
      <c r="E9" s="79">
        <v>0</v>
      </c>
    </row>
    <row r="10" spans="2:9" x14ac:dyDescent="0.3">
      <c r="B10" s="87" t="str">
        <f>C10&amp;"-"&amp;D10</f>
        <v>Conservador-HOTELARIAS</v>
      </c>
      <c r="C10" s="88" t="s">
        <v>29</v>
      </c>
      <c r="D10" s="89" t="s">
        <v>27</v>
      </c>
      <c r="E10" s="90">
        <v>0</v>
      </c>
    </row>
    <row r="11" spans="2:9" x14ac:dyDescent="0.3">
      <c r="B11" s="83" t="str">
        <f>C11&amp;"-"&amp;D11</f>
        <v>Moderado-PAPEL</v>
      </c>
      <c r="C11" s="84" t="s">
        <v>32</v>
      </c>
      <c r="D11" s="85" t="s">
        <v>22</v>
      </c>
      <c r="E11" s="86">
        <v>0.32</v>
      </c>
    </row>
    <row r="12" spans="2:9" x14ac:dyDescent="0.3">
      <c r="B12" s="91" t="str">
        <f>C12&amp;"-"&amp;D12</f>
        <v>Moderado-TIJOLO</v>
      </c>
      <c r="C12" s="92" t="s">
        <v>32</v>
      </c>
      <c r="D12" s="93" t="s">
        <v>23</v>
      </c>
      <c r="E12" s="94">
        <v>0.35</v>
      </c>
    </row>
    <row r="13" spans="2:9" x14ac:dyDescent="0.3">
      <c r="B13" s="59" t="str">
        <f>C13&amp;"-"&amp;D13</f>
        <v>Moderado-HÍBRIDOS</v>
      </c>
      <c r="C13" s="60" t="s">
        <v>32</v>
      </c>
      <c r="D13" s="78" t="s">
        <v>24</v>
      </c>
      <c r="E13" s="79">
        <v>0.08</v>
      </c>
    </row>
    <row r="14" spans="2:9" x14ac:dyDescent="0.3">
      <c r="B14" s="59" t="str">
        <f>C14&amp;"-"&amp;D14</f>
        <v>Moderado-FOFs</v>
      </c>
      <c r="C14" s="60" t="s">
        <v>32</v>
      </c>
      <c r="D14" s="78" t="s">
        <v>25</v>
      </c>
      <c r="E14" s="79">
        <v>0.05</v>
      </c>
    </row>
    <row r="15" spans="2:9" x14ac:dyDescent="0.3">
      <c r="B15" s="59" t="str">
        <f>C15&amp;"-"&amp;D15</f>
        <v>Moderado-DESENVOLVIMENTO</v>
      </c>
      <c r="C15" s="60" t="s">
        <v>32</v>
      </c>
      <c r="D15" s="78" t="s">
        <v>26</v>
      </c>
      <c r="E15" s="79">
        <v>0.1</v>
      </c>
    </row>
    <row r="16" spans="2:9" x14ac:dyDescent="0.3">
      <c r="B16" s="87" t="str">
        <f>C16&amp;"-"&amp;D16</f>
        <v>Moderado-HOTELARIAS</v>
      </c>
      <c r="C16" s="88" t="s">
        <v>32</v>
      </c>
      <c r="D16" s="89" t="s">
        <v>27</v>
      </c>
      <c r="E16" s="79">
        <v>0.1</v>
      </c>
    </row>
    <row r="17" spans="2:5" x14ac:dyDescent="0.3">
      <c r="B17" s="83" t="str">
        <f>C17&amp;"-"&amp;D17</f>
        <v>Agressivo-PAPEL</v>
      </c>
      <c r="C17" s="84" t="s">
        <v>33</v>
      </c>
      <c r="D17" s="85" t="s">
        <v>22</v>
      </c>
      <c r="E17" s="79">
        <v>0.5</v>
      </c>
    </row>
    <row r="18" spans="2:5" x14ac:dyDescent="0.3">
      <c r="B18" s="59" t="str">
        <f>C18&amp;"-"&amp;D18</f>
        <v>Agressivo-TIJOLO</v>
      </c>
      <c r="C18" s="60" t="s">
        <v>33</v>
      </c>
      <c r="D18" s="78" t="s">
        <v>23</v>
      </c>
      <c r="E18" s="79">
        <v>0.1</v>
      </c>
    </row>
    <row r="19" spans="2:5" x14ac:dyDescent="0.3">
      <c r="B19" s="59" t="str">
        <f>C19&amp;"-"&amp;D19</f>
        <v>Agressivo-HÍBRIDOS</v>
      </c>
      <c r="C19" s="60" t="s">
        <v>33</v>
      </c>
      <c r="D19" s="78" t="s">
        <v>24</v>
      </c>
      <c r="E19" s="79">
        <v>0.05</v>
      </c>
    </row>
    <row r="20" spans="2:5" x14ac:dyDescent="0.3">
      <c r="B20" s="59" t="str">
        <f>C20&amp;"-"&amp;D20</f>
        <v>Agressivo-FOFs</v>
      </c>
      <c r="C20" s="60" t="s">
        <v>33</v>
      </c>
      <c r="D20" s="78" t="s">
        <v>25</v>
      </c>
      <c r="E20" s="79">
        <v>0.05</v>
      </c>
    </row>
    <row r="21" spans="2:5" x14ac:dyDescent="0.3">
      <c r="B21" s="59" t="str">
        <f>C21&amp;"-"&amp;D21</f>
        <v>Agressivo-DESENVOLVIMENTO</v>
      </c>
      <c r="C21" s="60" t="s">
        <v>33</v>
      </c>
      <c r="D21" s="78" t="s">
        <v>26</v>
      </c>
      <c r="E21" s="79">
        <v>0.2</v>
      </c>
    </row>
    <row r="22" spans="2:5" ht="15" thickBot="1" x14ac:dyDescent="0.35">
      <c r="B22" s="80" t="str">
        <f>C22&amp;"-"&amp;D22</f>
        <v>Agressivo-HOTELARIAS</v>
      </c>
      <c r="C22" s="71" t="s">
        <v>33</v>
      </c>
      <c r="D22" s="81" t="s">
        <v>27</v>
      </c>
      <c r="E22" s="82">
        <v>0.1</v>
      </c>
    </row>
    <row r="23" spans="2:5" ht="15" thickTop="1" x14ac:dyDescent="0.3"/>
  </sheetData>
  <conditionalFormatting sqref="B5:E22">
    <cfRule type="cellIs" dxfId="2" priority="2" operator="equal">
      <formula>$H$5</formula>
    </cfRule>
  </conditionalFormatting>
  <dataValidations count="1">
    <dataValidation type="list" allowBlank="1" showInputMessage="1" showErrorMessage="1" sqref="H5" xr:uid="{8D188B5E-5A73-42B7-B0C3-2B72DC5CA42F}">
      <formula1>$B$5:$B$22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aporte</vt:lpstr>
      <vt:lpstr>qtd_tempo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Takara</dc:creator>
  <cp:lastModifiedBy>Carlos Takara</cp:lastModifiedBy>
  <dcterms:created xsi:type="dcterms:W3CDTF">2026-08-24T21:06:37Z</dcterms:created>
  <dcterms:modified xsi:type="dcterms:W3CDTF">2026-08-31T20:16:42Z</dcterms:modified>
</cp:coreProperties>
</file>