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carlo\Documents\DIO\ANALISE DE DADOS\formulas aplicadas\"/>
    </mc:Choice>
  </mc:AlternateContent>
  <xr:revisionPtr revIDLastSave="0" documentId="13_ncr:1_{AF9115C1-3DB4-4CDC-8FB5-B46E35DFB51E}" xr6:coauthVersionLast="47" xr6:coauthVersionMax="47" xr10:uidLastSave="{00000000-0000-0000-0000-000000000000}"/>
  <bookViews>
    <workbookView xWindow="28680" yWindow="-120" windowWidth="29040" windowHeight="15720" activeTab="3" xr2:uid="{FEAC74C4-92AD-438D-AADF-8FBC7288DDBF}"/>
  </bookViews>
  <sheets>
    <sheet name="TITULAR" sheetId="12" r:id="rId1"/>
    <sheet name="INFORMES" sheetId="8" r:id="rId2"/>
    <sheet name="NOTAS" sheetId="10" r:id="rId3"/>
    <sheet name="IR" sheetId="16" r:id="rId4"/>
    <sheet name="Planilha5" sheetId="14" state="hidden" r:id="rId5"/>
  </sheets>
  <externalReferences>
    <externalReference r:id="rId6"/>
  </externalReferences>
  <definedNames>
    <definedName name="_xlnm._FilterDatabase" localSheetId="1" hidden="1">INFORMES!$C$10:$D$12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8" i="16" l="1"/>
  <c r="E26" i="16"/>
  <c r="E25" i="16"/>
  <c r="C25" i="16"/>
  <c r="E24" i="16"/>
  <c r="C24" i="16"/>
  <c r="E23" i="16"/>
  <c r="C23" i="16"/>
  <c r="E22" i="16"/>
  <c r="C22" i="16"/>
  <c r="E21" i="16"/>
  <c r="C21" i="16"/>
  <c r="E20" i="16"/>
  <c r="C20" i="16"/>
  <c r="F20" i="16" s="1"/>
  <c r="E19" i="16"/>
  <c r="C19" i="16"/>
  <c r="F19" i="16" s="1"/>
  <c r="E18" i="16"/>
  <c r="F18" i="16" s="1"/>
  <c r="C18" i="16"/>
  <c r="E17" i="16"/>
  <c r="F17" i="16" s="1"/>
  <c r="C17" i="16"/>
  <c r="E16" i="16"/>
  <c r="C16" i="16"/>
  <c r="E15" i="16"/>
  <c r="F15" i="16" s="1"/>
  <c r="C15" i="16"/>
  <c r="E14" i="16"/>
  <c r="F14" i="16" s="1"/>
  <c r="C14" i="16"/>
  <c r="E31" i="10"/>
  <c r="F22" i="16" l="1"/>
  <c r="F23" i="16"/>
  <c r="F16" i="16"/>
  <c r="F24" i="16"/>
  <c r="F21" i="16"/>
  <c r="F25" i="16"/>
  <c r="D26" i="16"/>
  <c r="I28" i="16" s="1"/>
  <c r="C7" i="8"/>
  <c r="F26" i="1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8" authorId="0" shapeId="0" xr:uid="{8F37C35F-DD21-4996-A587-F890904A2494}">
      <text>
        <r>
          <rPr>
            <sz val="10"/>
            <rFont val="Arial"/>
            <family val="2"/>
          </rPr>
          <t>Limites vigentes desde jan/2026 (Lei da isenção do IR até R$5.000,00 mensais / R$60.000,00 anuais). Ajuste aqui caso a legislação seja alterada.</t>
        </r>
      </text>
    </comment>
  </commentList>
</comments>
</file>

<file path=xl/sharedStrings.xml><?xml version="1.0" encoding="utf-8"?>
<sst xmlns="http://schemas.openxmlformats.org/spreadsheetml/2006/main" count="121" uniqueCount="107">
  <si>
    <t>NOME:</t>
  </si>
  <si>
    <t>CPF:</t>
  </si>
  <si>
    <t>NASC.:</t>
  </si>
  <si>
    <t>TIT. ELEITOR:</t>
  </si>
  <si>
    <t>CÔNJUGUE:</t>
  </si>
  <si>
    <t>RUA:</t>
  </si>
  <si>
    <t>RUA ABREVIADA:</t>
  </si>
  <si>
    <t>CEP:</t>
  </si>
  <si>
    <t>TELEFONE:</t>
  </si>
  <si>
    <t>CELULAR:</t>
  </si>
  <si>
    <t>E-MAIL:</t>
  </si>
  <si>
    <t>HOUVE ALTERAÇÕES DA ENTREGA ANTERIOR:</t>
  </si>
  <si>
    <t>DEPENDENTE CÔNJUGUE:</t>
  </si>
  <si>
    <t>RESIDENTE DO EXTERIOR:</t>
  </si>
  <si>
    <t>1. DADOS DO TITULAR</t>
  </si>
  <si>
    <t>preencha os dados da sua pessoa física abaixo</t>
  </si>
  <si>
    <t>Carlos Daniel Takara Cardoso</t>
  </si>
  <si>
    <t>Gabriela Almeida</t>
  </si>
  <si>
    <t>R. Águas virtuosas, PQ. Peruche</t>
  </si>
  <si>
    <t>carlos.danitc@gmail.com</t>
  </si>
  <si>
    <t>NÃO</t>
  </si>
  <si>
    <t>SIM</t>
  </si>
  <si>
    <t>preencha com seus dados atuais de cada banco</t>
  </si>
  <si>
    <t>BANCO:</t>
  </si>
  <si>
    <t>VALOR ATUAL:</t>
  </si>
  <si>
    <r>
      <t>001</t>
    </r>
    <r>
      <rPr>
        <sz val="11"/>
        <color theme="1"/>
        <rFont val="Aptos Narrow"/>
        <family val="2"/>
        <scheme val="minor"/>
      </rPr>
      <t xml:space="preserve"> – Banco do Brasil S.A.</t>
    </r>
  </si>
  <si>
    <r>
      <t>104</t>
    </r>
    <r>
      <rPr>
        <sz val="11"/>
        <color theme="1"/>
        <rFont val="Aptos Narrow"/>
        <family val="2"/>
        <scheme val="minor"/>
      </rPr>
      <t xml:space="preserve"> – Caixa Econômica Federal</t>
    </r>
  </si>
  <si>
    <r>
      <t>237</t>
    </r>
    <r>
      <rPr>
        <sz val="11"/>
        <color theme="1"/>
        <rFont val="Aptos Narrow"/>
        <family val="2"/>
        <scheme val="minor"/>
      </rPr>
      <t xml:space="preserve"> – Banco Bradesco S.A.</t>
    </r>
  </si>
  <si>
    <r>
      <t>341</t>
    </r>
    <r>
      <rPr>
        <sz val="11"/>
        <color theme="1"/>
        <rFont val="Aptos Narrow"/>
        <family val="2"/>
        <scheme val="minor"/>
      </rPr>
      <t xml:space="preserve"> – Itaú Unibanco S.A.</t>
    </r>
  </si>
  <si>
    <r>
      <t>033</t>
    </r>
    <r>
      <rPr>
        <sz val="11"/>
        <color theme="1"/>
        <rFont val="Aptos Narrow"/>
        <family val="2"/>
        <scheme val="minor"/>
      </rPr>
      <t xml:space="preserve"> – Banco Santander (Brasil) S.A.</t>
    </r>
  </si>
  <si>
    <r>
      <t>260</t>
    </r>
    <r>
      <rPr>
        <sz val="11"/>
        <color theme="1"/>
        <rFont val="Aptos Narrow"/>
        <family val="2"/>
        <scheme val="minor"/>
      </rPr>
      <t xml:space="preserve"> – Nu Pagamentos S.A. (Nubank)</t>
    </r>
  </si>
  <si>
    <r>
      <t>077</t>
    </r>
    <r>
      <rPr>
        <sz val="11"/>
        <color theme="1"/>
        <rFont val="Aptos Narrow"/>
        <family val="2"/>
        <scheme val="minor"/>
      </rPr>
      <t xml:space="preserve"> – Banco Inter S.A.</t>
    </r>
  </si>
  <si>
    <r>
      <t>290</t>
    </r>
    <r>
      <rPr>
        <sz val="11"/>
        <color theme="1"/>
        <rFont val="Aptos Narrow"/>
        <family val="2"/>
        <scheme val="minor"/>
      </rPr>
      <t xml:space="preserve"> – PagBank (PagSeguro)</t>
    </r>
  </si>
  <si>
    <r>
      <t>380</t>
    </r>
    <r>
      <rPr>
        <sz val="11"/>
        <color theme="1"/>
        <rFont val="Aptos Narrow"/>
        <family val="2"/>
        <scheme val="minor"/>
      </rPr>
      <t xml:space="preserve"> – PicPay Serviços S.A.</t>
    </r>
  </si>
  <si>
    <r>
      <t>336</t>
    </r>
    <r>
      <rPr>
        <sz val="11"/>
        <color theme="1"/>
        <rFont val="Aptos Narrow"/>
        <family val="2"/>
        <scheme val="minor"/>
      </rPr>
      <t xml:space="preserve"> – Banco C6 S.A.</t>
    </r>
  </si>
  <si>
    <r>
      <t>323</t>
    </r>
    <r>
      <rPr>
        <sz val="11"/>
        <color theme="1"/>
        <rFont val="Aptos Narrow"/>
        <family val="2"/>
        <scheme val="minor"/>
      </rPr>
      <t xml:space="preserve"> – Mercado Pago (Mercado Livre)</t>
    </r>
  </si>
  <si>
    <r>
      <t>756</t>
    </r>
    <r>
      <rPr>
        <sz val="11"/>
        <color theme="1"/>
        <rFont val="Aptos Narrow"/>
        <family val="2"/>
        <scheme val="minor"/>
      </rPr>
      <t xml:space="preserve"> – Sicoob (Banco Cooperativo do Brasil)</t>
    </r>
  </si>
  <si>
    <r>
      <t>748</t>
    </r>
    <r>
      <rPr>
        <sz val="11"/>
        <color theme="1"/>
        <rFont val="Aptos Narrow"/>
        <family val="2"/>
        <scheme val="minor"/>
      </rPr>
      <t xml:space="preserve"> – Sicredi (Banco Cooperativo Sicredi S.A.)</t>
    </r>
  </si>
  <si>
    <r>
      <t>208</t>
    </r>
    <r>
      <rPr>
        <sz val="11"/>
        <color theme="1"/>
        <rFont val="Aptos Narrow"/>
        <family val="2"/>
        <scheme val="minor"/>
      </rPr>
      <t xml:space="preserve"> – Banco BTG Pactual S.A.</t>
    </r>
  </si>
  <si>
    <r>
      <t>102</t>
    </r>
    <r>
      <rPr>
        <sz val="11"/>
        <color theme="1"/>
        <rFont val="Aptos Narrow"/>
        <family val="2"/>
        <scheme val="minor"/>
      </rPr>
      <t xml:space="preserve"> – XP Investimentos CCTVM S.A.</t>
    </r>
  </si>
  <si>
    <r>
      <t>003</t>
    </r>
    <r>
      <rPr>
        <sz val="11"/>
        <color theme="1"/>
        <rFont val="Aptos Narrow"/>
        <family val="2"/>
        <scheme val="minor"/>
      </rPr>
      <t xml:space="preserve"> – Banco da Amazônia S.A.</t>
    </r>
  </si>
  <si>
    <r>
      <t>004</t>
    </r>
    <r>
      <rPr>
        <sz val="11"/>
        <color theme="1"/>
        <rFont val="Aptos Narrow"/>
        <family val="2"/>
        <scheme val="minor"/>
      </rPr>
      <t xml:space="preserve"> – Banco do Nordeste do Brasil S.A.</t>
    </r>
  </si>
  <si>
    <r>
      <t>021</t>
    </r>
    <r>
      <rPr>
        <sz val="11"/>
        <color theme="1"/>
        <rFont val="Aptos Narrow"/>
        <family val="2"/>
        <scheme val="minor"/>
      </rPr>
      <t xml:space="preserve"> – Banestes S.A. (Banco do Estado do Espírito Santo)</t>
    </r>
  </si>
  <si>
    <r>
      <t>037</t>
    </r>
    <r>
      <rPr>
        <sz val="11"/>
        <color theme="1"/>
        <rFont val="Aptos Narrow"/>
        <family val="2"/>
        <scheme val="minor"/>
      </rPr>
      <t xml:space="preserve"> – Banpará (Banco do Estado do Pará)</t>
    </r>
  </si>
  <si>
    <r>
      <t>041</t>
    </r>
    <r>
      <rPr>
        <sz val="11"/>
        <color theme="1"/>
        <rFont val="Aptos Narrow"/>
        <family val="2"/>
        <scheme val="minor"/>
      </rPr>
      <t xml:space="preserve"> – Banrisul (Banco do Estado do Rio Grande do Sul)</t>
    </r>
  </si>
  <si>
    <r>
      <t>070</t>
    </r>
    <r>
      <rPr>
        <sz val="11"/>
        <color theme="1"/>
        <rFont val="Aptos Narrow"/>
        <family val="2"/>
        <scheme val="minor"/>
      </rPr>
      <t xml:space="preserve"> – BRB – Banco de Brasília S.A.</t>
    </r>
  </si>
  <si>
    <r>
      <t>184</t>
    </r>
    <r>
      <rPr>
        <sz val="11"/>
        <color theme="1"/>
        <rFont val="Aptos Narrow"/>
        <family val="2"/>
        <scheme val="minor"/>
      </rPr>
      <t xml:space="preserve"> – Banco Itaú BBA S.A.</t>
    </r>
  </si>
  <si>
    <r>
      <t>197</t>
    </r>
    <r>
      <rPr>
        <sz val="11"/>
        <color theme="1"/>
        <rFont val="Aptos Narrow"/>
        <family val="2"/>
        <scheme val="minor"/>
      </rPr>
      <t xml:space="preserve"> – Stone Pagamentos S.A.</t>
    </r>
  </si>
  <si>
    <r>
      <t>212</t>
    </r>
    <r>
      <rPr>
        <sz val="11"/>
        <color theme="1"/>
        <rFont val="Aptos Narrow"/>
        <family val="2"/>
        <scheme val="minor"/>
      </rPr>
      <t xml:space="preserve"> – Banco Original S.A.</t>
    </r>
  </si>
  <si>
    <r>
      <t>376</t>
    </r>
    <r>
      <rPr>
        <sz val="11"/>
        <color theme="1"/>
        <rFont val="Aptos Narrow"/>
        <family val="2"/>
        <scheme val="minor"/>
      </rPr>
      <t xml:space="preserve"> – Banco J.P. Morgan S.A.</t>
    </r>
  </si>
  <si>
    <r>
      <t>422</t>
    </r>
    <r>
      <rPr>
        <sz val="11"/>
        <color theme="1"/>
        <rFont val="Aptos Narrow"/>
        <family val="2"/>
        <scheme val="minor"/>
      </rPr>
      <t xml:space="preserve"> – Banco Safra S.A.</t>
    </r>
  </si>
  <si>
    <r>
      <t>464</t>
    </r>
    <r>
      <rPr>
        <sz val="11"/>
        <color theme="1"/>
        <rFont val="Aptos Narrow"/>
        <family val="2"/>
        <scheme val="minor"/>
      </rPr>
      <t xml:space="preserve"> – Banco Sumitomo Mitsui Brasileiro S.A.</t>
    </r>
  </si>
  <si>
    <r>
      <t>477</t>
    </r>
    <r>
      <rPr>
        <sz val="11"/>
        <color theme="1"/>
        <rFont val="Aptos Narrow"/>
        <family val="2"/>
        <scheme val="minor"/>
      </rPr>
      <t xml:space="preserve"> – Citibank N.A.</t>
    </r>
  </si>
  <si>
    <r>
      <t>600</t>
    </r>
    <r>
      <rPr>
        <sz val="11"/>
        <color theme="1"/>
        <rFont val="Aptos Narrow"/>
        <family val="2"/>
        <scheme val="minor"/>
      </rPr>
      <t xml:space="preserve"> – Banco Luso Brasileiro S.A.</t>
    </r>
  </si>
  <si>
    <r>
      <t>604</t>
    </r>
    <r>
      <rPr>
        <sz val="11"/>
        <color theme="1"/>
        <rFont val="Aptos Narrow"/>
        <family val="2"/>
        <scheme val="minor"/>
      </rPr>
      <t xml:space="preserve"> – Banco Industrial do Brasil S.A.</t>
    </r>
  </si>
  <si>
    <r>
      <t>610</t>
    </r>
    <r>
      <rPr>
        <sz val="11"/>
        <color theme="1"/>
        <rFont val="Aptos Narrow"/>
        <family val="2"/>
        <scheme val="minor"/>
      </rPr>
      <t xml:space="preserve"> – Banco VR S.A.</t>
    </r>
  </si>
  <si>
    <r>
      <t>634</t>
    </r>
    <r>
      <rPr>
        <sz val="11"/>
        <color theme="1"/>
        <rFont val="Aptos Narrow"/>
        <family val="2"/>
        <scheme val="minor"/>
      </rPr>
      <t xml:space="preserve"> – Banco Triângulo S.A. (Banco Triângulo/Tribanco)</t>
    </r>
  </si>
  <si>
    <r>
      <t>655</t>
    </r>
    <r>
      <rPr>
        <sz val="11"/>
        <color theme="1"/>
        <rFont val="Aptos Narrow"/>
        <family val="2"/>
        <scheme val="minor"/>
      </rPr>
      <t xml:space="preserve"> – Banco Votorantim S.A. (bv)</t>
    </r>
  </si>
  <si>
    <r>
      <t>707</t>
    </r>
    <r>
      <rPr>
        <sz val="11"/>
        <color theme="1"/>
        <rFont val="Aptos Narrow"/>
        <family val="2"/>
        <scheme val="minor"/>
      </rPr>
      <t xml:space="preserve"> – Banco Daycoval S.A.</t>
    </r>
  </si>
  <si>
    <r>
      <t>735</t>
    </r>
    <r>
      <rPr>
        <sz val="11"/>
        <color theme="1"/>
        <rFont val="Aptos Narrow"/>
        <family val="2"/>
        <scheme val="minor"/>
      </rPr>
      <t xml:space="preserve"> – Banco Neon S.A.</t>
    </r>
  </si>
  <si>
    <t>104 – Caixa Econômica Federal</t>
  </si>
  <si>
    <t>1º BANCO</t>
  </si>
  <si>
    <t>3º BANCO</t>
  </si>
  <si>
    <t>2º BANCO</t>
  </si>
  <si>
    <t>TOTAL</t>
  </si>
  <si>
    <t>&lt;- ANTERIOR</t>
  </si>
  <si>
    <t>PRÓXIMO -&gt;</t>
  </si>
  <si>
    <t>São as receitas de todos os valores de entrada mês a mês.</t>
  </si>
  <si>
    <t>DATA</t>
  </si>
  <si>
    <t>CATEGORIA</t>
  </si>
  <si>
    <t>VALOR</t>
  </si>
  <si>
    <t>ENTRADAS</t>
  </si>
  <si>
    <t>HOLERITE</t>
  </si>
  <si>
    <t>Rua águas virtuosas, Parque Peruche, 577</t>
  </si>
  <si>
    <t>ANEXO(EXTRATO):</t>
  </si>
  <si>
    <t>341 – Itaú Unibanco S.A.</t>
  </si>
  <si>
    <t>260 – Nu Pagamentos S.A. (Nubank)</t>
  </si>
  <si>
    <t>itau.pdf</t>
  </si>
  <si>
    <t>cef.pdf</t>
  </si>
  <si>
    <t>nu.pdf</t>
  </si>
  <si>
    <t>CNPJ</t>
  </si>
  <si>
    <t>FREELANCE</t>
  </si>
  <si>
    <t>Total</t>
  </si>
  <si>
    <t>Compare suas entradas mensais com o limite de isenção do IR.</t>
  </si>
  <si>
    <t>ANO DE REFERÊNCIA:</t>
  </si>
  <si>
    <t>LIMITE MENSAL (R$):</t>
  </si>
  <si>
    <t>LIMITE ANUAL (R$):</t>
  </si>
  <si>
    <t>RESUMO MENSAL DE ENTRADAS x LIMITE DE ISENÇÃO</t>
  </si>
  <si>
    <t>MÊS</t>
  </si>
  <si>
    <t>TOTAL ENTRADAS (R$)</t>
  </si>
  <si>
    <t>LIMITE MENSAL (R$)</t>
  </si>
  <si>
    <t>TOTAL ANUAL</t>
  </si>
  <si>
    <t>SITUAÇÃO ANUAL:</t>
  </si>
  <si>
    <t>Registre gastos que podem reduzir sua base de cálculo do IR.</t>
  </si>
  <si>
    <t>DESPESAS</t>
  </si>
  <si>
    <t>DESCRIÇÃO</t>
  </si>
  <si>
    <t>SAÚDE</t>
  </si>
  <si>
    <t>EDUCAÇÃO</t>
  </si>
  <si>
    <t>PREVIDÊNCIA PRIVADA (PGBL)</t>
  </si>
  <si>
    <t>DEPENDENTES</t>
  </si>
  <si>
    <t>OUTRAS</t>
  </si>
  <si>
    <t>Limites de referência (2026): dependente R$189,59/mês; educação até R$3.561,50/pessoa/ano; desconto simplificado mensal até R$607,20; saúde não tem limite (exige comprovantes). Guarde recibos e notas fiscais de tudo o que lançar aqui — a Receita pode solicitá-los.</t>
  </si>
  <si>
    <t>2. DADOS DO TITULAR</t>
  </si>
  <si>
    <t>3. NOTAS BANCÁRIAS OU EXTRATO DE HOLERITES</t>
  </si>
  <si>
    <t>4. LIMITE MENSAL DE ISENÇÃO DO IMPOSTO DE RENDA</t>
  </si>
  <si>
    <t>5. DESPESAS DEDUTÍVEIS DO IMPOSTO DE RENDA</t>
  </si>
  <si>
    <t>DIFERENÇA (R$)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</si>
</sst>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 &quot;00000&quot;-&quot;0000"/>
    <numFmt numFmtId="167" formatCode="&quot;R$&quot;\ #,##0.00"/>
    <numFmt numFmtId="168" formatCode="mmmm\-yyyy"/>
    <numFmt numFmtId="169" formatCode="_(\$* #,##0.00_);_(\$* \(#,##0.00\);_(\$* \-??_);_(@_)"/>
    <numFmt numFmtId="170" formatCode="&quot;R$ &quot;#,##0.00"/>
    <numFmt numFmtId="171" formatCode="mmm/yyyy"/>
  </numFmts>
  <fonts count="3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Britannic Bold"/>
      <family val="2"/>
    </font>
    <font>
      <u/>
      <sz val="11"/>
      <color theme="10"/>
      <name val="Aptos Narrow"/>
      <family val="2"/>
      <scheme val="minor"/>
    </font>
    <font>
      <sz val="8"/>
      <color theme="1" tint="0.34998626667073579"/>
      <name val="Aptos Narrow"/>
      <family val="2"/>
      <scheme val="minor"/>
    </font>
    <font>
      <b/>
      <u/>
      <sz val="11"/>
      <color theme="6" tint="-0.499984740745262"/>
      <name val="Aptos Narrow"/>
      <family val="2"/>
      <scheme val="minor"/>
    </font>
    <font>
      <i/>
      <sz val="11"/>
      <color theme="6" tint="-0.499984740745262"/>
      <name val="Aptos Narrow"/>
      <family val="2"/>
      <scheme val="minor"/>
    </font>
    <font>
      <b/>
      <sz val="15"/>
      <color theme="6" tint="-0.499984740745262"/>
      <name val="Aptos Narrow"/>
      <family val="2"/>
      <scheme val="minor"/>
    </font>
    <font>
      <sz val="11"/>
      <name val="Britannic Bold"/>
      <family val="2"/>
    </font>
    <font>
      <b/>
      <u/>
      <sz val="11"/>
      <name val="Aptos Narrow"/>
      <family val="2"/>
      <scheme val="minor"/>
    </font>
    <font>
      <i/>
      <sz val="11"/>
      <name val="Aptos Narrow"/>
      <family val="2"/>
      <scheme val="minor"/>
    </font>
    <font>
      <b/>
      <sz val="14"/>
      <color theme="6" tint="-0.499984740745262"/>
      <name val="Aptos Narrow"/>
      <family val="2"/>
      <scheme val="minor"/>
    </font>
    <font>
      <b/>
      <i/>
      <sz val="11"/>
      <color theme="6" tint="-0.499984740745262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"/>
    </font>
    <font>
      <b/>
      <sz val="15"/>
      <color theme="3"/>
      <name val="Aptos Narrow"/>
      <family val="2"/>
      <charset val="1"/>
    </font>
    <font>
      <b/>
      <sz val="11"/>
      <color theme="0"/>
      <name val="Aptos Narrow"/>
      <family val="2"/>
      <charset val="1"/>
    </font>
    <font>
      <u/>
      <sz val="11"/>
      <color theme="10"/>
      <name val="Aptos Narrow"/>
      <family val="2"/>
      <charset val="1"/>
    </font>
    <font>
      <sz val="11"/>
      <color theme="1"/>
      <name val="Britannic Bold"/>
      <family val="2"/>
      <charset val="1"/>
    </font>
    <font>
      <b/>
      <sz val="14"/>
      <color theme="6" tint="-0.499984740745262"/>
      <name val="Aptos Narrow"/>
      <family val="2"/>
      <charset val="1"/>
    </font>
    <font>
      <b/>
      <i/>
      <sz val="11"/>
      <color theme="6" tint="-0.499984740745262"/>
      <name val="Aptos Narrow"/>
      <family val="2"/>
      <charset val="1"/>
    </font>
    <font>
      <b/>
      <u/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b/>
      <sz val="10"/>
      <color theme="1"/>
      <name val="Aptos Narrow"/>
      <family val="2"/>
      <charset val="1"/>
    </font>
    <font>
      <b/>
      <sz val="10"/>
      <color rgb="FFFFFFFF"/>
      <name val="Aptos Narrow"/>
      <family val="2"/>
    </font>
    <font>
      <i/>
      <sz val="8.5"/>
      <color rgb="FF7F7F7F"/>
      <name val="Aptos Narrow"/>
      <family val="2"/>
    </font>
    <font>
      <sz val="10"/>
      <name val="Arial"/>
      <family val="2"/>
    </font>
    <font>
      <b/>
      <sz val="10"/>
      <color rgb="FFFFFFFF"/>
      <name val="Aptos Narrow"/>
      <family val="2"/>
    </font>
    <font>
      <i/>
      <sz val="8.5"/>
      <color rgb="FF7F7F7F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A5A5A5"/>
      </patternFill>
    </fill>
    <fill>
      <patternFill patternType="solid">
        <fgColor rgb="FFFEDA7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A5A5A5"/>
        <bgColor rgb="FFBFBFBF"/>
      </patternFill>
    </fill>
    <fill>
      <patternFill patternType="solid">
        <fgColor rgb="FFFEDA75"/>
        <bgColor rgb="FFF4C7C3"/>
      </patternFill>
    </fill>
    <fill>
      <patternFill patternType="solid">
        <fgColor theme="6" tint="-0.499984740745262"/>
        <bgColor rgb="FF0E2841"/>
      </patternFill>
    </fill>
  </fills>
  <borders count="3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BF9A33"/>
      </bottom>
      <diagonal/>
    </border>
    <border>
      <left/>
      <right/>
      <top style="thick">
        <color rgb="FFBF9A33"/>
      </top>
      <bottom/>
      <diagonal/>
    </border>
    <border>
      <left style="thin">
        <color auto="1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rgb="FFBFBFBF"/>
      </bottom>
      <diagonal/>
    </border>
    <border>
      <left/>
      <right style="hair">
        <color theme="6" tint="-0.499984740745262"/>
      </right>
      <top/>
      <bottom style="thin">
        <color theme="0"/>
      </bottom>
      <diagonal/>
    </border>
    <border>
      <left style="hair">
        <color theme="6" tint="-0.499984740745262"/>
      </left>
      <right style="hair">
        <color theme="6" tint="-0.499984740745262"/>
      </right>
      <top/>
      <bottom style="thin">
        <color theme="0"/>
      </bottom>
      <diagonal/>
    </border>
    <border>
      <left style="hair">
        <color theme="6" tint="-0.499984740745262"/>
      </left>
      <right/>
      <top/>
      <bottom style="thin">
        <color theme="0"/>
      </bottom>
      <diagonal/>
    </border>
    <border>
      <left/>
      <right style="hair">
        <color theme="6" tint="-0.499984740745262"/>
      </right>
      <top style="thin">
        <color theme="0"/>
      </top>
      <bottom style="thin">
        <color theme="0"/>
      </bottom>
      <diagonal/>
    </border>
    <border>
      <left style="hair">
        <color theme="6" tint="-0.499984740745262"/>
      </left>
      <right style="hair">
        <color theme="6" tint="-0.499984740745262"/>
      </right>
      <top style="thin">
        <color theme="0"/>
      </top>
      <bottom style="thin">
        <color theme="0"/>
      </bottom>
      <diagonal/>
    </border>
    <border>
      <left style="hair">
        <color theme="6" tint="-0.499984740745262"/>
      </left>
      <right/>
      <top style="thin">
        <color theme="0"/>
      </top>
      <bottom style="thin">
        <color theme="0"/>
      </bottom>
      <diagonal/>
    </border>
    <border>
      <left/>
      <right style="hair">
        <color theme="6" tint="-0.499984740745262"/>
      </right>
      <top style="thin">
        <color auto="1"/>
      </top>
      <bottom/>
      <diagonal/>
    </border>
    <border>
      <left style="hair">
        <color theme="6" tint="-0.499984740745262"/>
      </left>
      <right style="hair">
        <color theme="6" tint="-0.499984740745262"/>
      </right>
      <top style="thin">
        <color auto="1"/>
      </top>
      <bottom/>
      <diagonal/>
    </border>
    <border>
      <left style="hair">
        <color theme="6" tint="-0.499984740745262"/>
      </left>
      <right/>
      <top style="thin">
        <color auto="1"/>
      </top>
      <bottom/>
      <diagonal/>
    </border>
    <border>
      <left style="thin">
        <color rgb="FFBFBFBF"/>
      </left>
      <right style="hair">
        <color rgb="FFBFBFBF"/>
      </right>
      <top style="thin">
        <color rgb="FFBFBFBF"/>
      </top>
      <bottom style="thin">
        <color rgb="FFBFBFBF"/>
      </bottom>
      <diagonal/>
    </border>
    <border>
      <left style="hair">
        <color rgb="FFBFBFBF"/>
      </left>
      <right style="hair">
        <color rgb="FFBFBFBF"/>
      </right>
      <top style="thin">
        <color rgb="FFBFBFBF"/>
      </top>
      <bottom style="thin">
        <color rgb="FFBFBFBF"/>
      </bottom>
      <diagonal/>
    </border>
    <border>
      <left style="hair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hair">
        <color rgb="FFBFBFBF"/>
      </right>
      <top style="thin">
        <color auto="1"/>
      </top>
      <bottom/>
      <diagonal/>
    </border>
    <border>
      <left style="hair">
        <color rgb="FFBFBFBF"/>
      </left>
      <right style="hair">
        <color rgb="FFBFBFBF"/>
      </right>
      <top style="thin">
        <color auto="1"/>
      </top>
      <bottom/>
      <diagonal/>
    </border>
    <border>
      <left style="hair">
        <color rgb="FFBFBFBF"/>
      </left>
      <right/>
      <top style="thin">
        <color auto="1"/>
      </top>
      <bottom/>
      <diagonal/>
    </border>
    <border>
      <left style="thin">
        <color rgb="FFBFBFBF"/>
      </left>
      <right style="hair">
        <color theme="6" tint="-0.499984740745262"/>
      </right>
      <top style="thin">
        <color rgb="FFBFBFBF"/>
      </top>
      <bottom style="thin">
        <color rgb="FFBFBFBF"/>
      </bottom>
      <diagonal/>
    </border>
    <border>
      <left style="hair">
        <color theme="6" tint="-0.499984740745262"/>
      </left>
      <right style="hair">
        <color theme="6" tint="-0.499984740745262"/>
      </right>
      <top style="thin">
        <color rgb="FFBFBFBF"/>
      </top>
      <bottom style="thin">
        <color rgb="FFBFBFBF"/>
      </bottom>
      <diagonal/>
    </border>
    <border>
      <left style="hair">
        <color theme="6" tint="-0.499984740745262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hair">
        <color theme="6" tint="-0.499984740745262"/>
      </right>
      <top style="thin">
        <color rgb="FFBFBFBF"/>
      </top>
      <bottom style="thin">
        <color auto="1"/>
      </bottom>
      <diagonal/>
    </border>
    <border>
      <left style="hair">
        <color theme="6" tint="-0.499984740745262"/>
      </left>
      <right style="hair">
        <color theme="6" tint="-0.499984740745262"/>
      </right>
      <top style="thin">
        <color rgb="FFBFBFBF"/>
      </top>
      <bottom style="thin">
        <color auto="1"/>
      </bottom>
      <diagonal/>
    </border>
    <border>
      <left style="hair">
        <color theme="6" tint="-0.499984740745262"/>
      </left>
      <right style="thin">
        <color rgb="FFBFBFBF"/>
      </right>
      <top style="thin">
        <color rgb="FFBFBFBF"/>
      </top>
      <bottom style="thin">
        <color auto="1"/>
      </bottom>
      <diagonal/>
    </border>
    <border>
      <left/>
      <right/>
      <top/>
      <bottom style="hair">
        <color theme="6" tint="-0.499984740745262"/>
      </bottom>
      <diagonal/>
    </border>
    <border>
      <left/>
      <right/>
      <top style="hair">
        <color theme="6" tint="-0.499984740745262"/>
      </top>
      <bottom style="hair">
        <color theme="6" tint="-0.499984740745262"/>
      </bottom>
      <diagonal/>
    </border>
    <border>
      <left style="double">
        <color rgb="FF3F3F3F"/>
      </left>
      <right style="double">
        <color rgb="FF3F3F3F"/>
      </right>
      <top style="hair">
        <color theme="6" tint="-0.499984740745262"/>
      </top>
      <bottom style="double">
        <color rgb="FF3F3F3F"/>
      </bottom>
      <diagonal/>
    </border>
  </borders>
  <cellStyleXfs count="10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3" borderId="2" applyNumberFormat="0" applyAlignment="0" applyProtection="0"/>
    <xf numFmtId="0" fontId="6" fillId="0" borderId="0" applyNumberFormat="0" applyFill="0" applyBorder="0" applyAlignment="0" applyProtection="0"/>
    <xf numFmtId="0" fontId="19" fillId="0" borderId="0"/>
    <xf numFmtId="169" fontId="19" fillId="0" borderId="0"/>
    <xf numFmtId="0" fontId="22" fillId="0" borderId="0"/>
    <xf numFmtId="0" fontId="20" fillId="0" borderId="1"/>
    <xf numFmtId="0" fontId="21" fillId="7" borderId="2"/>
  </cellStyleXfs>
  <cellXfs count="83">
    <xf numFmtId="0" fontId="0" fillId="0" borderId="0" xfId="0"/>
    <xf numFmtId="0" fontId="0" fillId="2" borderId="0" xfId="0" applyFill="1"/>
    <xf numFmtId="0" fontId="5" fillId="0" borderId="3" xfId="0" applyFont="1" applyBorder="1" applyAlignment="1">
      <alignment horizontal="right"/>
    </xf>
    <xf numFmtId="0" fontId="2" fillId="0" borderId="4" xfId="2" applyBorder="1"/>
    <xf numFmtId="0" fontId="0" fillId="4" borderId="5" xfId="0" applyFill="1" applyBorder="1"/>
    <xf numFmtId="0" fontId="5" fillId="0" borderId="3" xfId="0" applyNumberFormat="1" applyFont="1" applyBorder="1" applyAlignment="1">
      <alignment horizontal="right"/>
    </xf>
    <xf numFmtId="0" fontId="4" fillId="0" borderId="0" xfId="0" applyFont="1" applyAlignment="1">
      <alignment horizontal="left" vertical="center" indent="1"/>
    </xf>
    <xf numFmtId="0" fontId="7" fillId="0" borderId="0" xfId="0" applyFont="1"/>
    <xf numFmtId="0" fontId="10" fillId="0" borderId="4" xfId="2" applyFont="1" applyBorder="1"/>
    <xf numFmtId="0" fontId="11" fillId="0" borderId="3" xfId="0" applyFont="1" applyBorder="1" applyAlignment="1">
      <alignment horizontal="right"/>
    </xf>
    <xf numFmtId="0" fontId="14" fillId="0" borderId="4" xfId="2" applyFont="1" applyBorder="1"/>
    <xf numFmtId="0" fontId="0" fillId="5" borderId="0" xfId="0" applyFill="1"/>
    <xf numFmtId="0" fontId="3" fillId="6" borderId="2" xfId="3" applyFill="1" applyAlignment="1" applyProtection="1">
      <alignment horizontal="left"/>
      <protection locked="0"/>
    </xf>
    <xf numFmtId="164" fontId="3" fillId="6" borderId="2" xfId="3" applyNumberFormat="1" applyFill="1" applyAlignment="1" applyProtection="1">
      <alignment horizontal="left"/>
      <protection locked="0"/>
    </xf>
    <xf numFmtId="14" fontId="3" fillId="6" borderId="2" xfId="3" applyNumberFormat="1" applyFill="1" applyAlignment="1" applyProtection="1">
      <alignment horizontal="left"/>
      <protection locked="0"/>
    </xf>
    <xf numFmtId="165" fontId="3" fillId="6" borderId="2" xfId="3" applyNumberFormat="1" applyFill="1" applyAlignment="1" applyProtection="1">
      <alignment horizontal="left"/>
      <protection locked="0"/>
    </xf>
    <xf numFmtId="166" fontId="3" fillId="6" borderId="2" xfId="3" applyNumberFormat="1" applyFill="1" applyAlignment="1" applyProtection="1">
      <alignment horizontal="left"/>
      <protection locked="0"/>
    </xf>
    <xf numFmtId="0" fontId="6" fillId="6" borderId="2" xfId="4" applyFill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167" fontId="3" fillId="6" borderId="2" xfId="3" applyNumberFormat="1" applyFill="1" applyAlignment="1" applyProtection="1">
      <alignment horizontal="left"/>
      <protection locked="0"/>
    </xf>
    <xf numFmtId="0" fontId="3" fillId="6" borderId="2" xfId="3" applyNumberFormat="1" applyFill="1" applyAlignment="1" applyProtection="1">
      <alignment horizontal="left"/>
      <protection locked="0"/>
    </xf>
    <xf numFmtId="167" fontId="0" fillId="0" borderId="0" xfId="0" applyNumberFormat="1"/>
    <xf numFmtId="0" fontId="0" fillId="0" borderId="9" xfId="0" applyBorder="1"/>
    <xf numFmtId="44" fontId="0" fillId="0" borderId="0" xfId="1" applyFont="1"/>
    <xf numFmtId="0" fontId="0" fillId="0" borderId="10" xfId="0" applyBorder="1"/>
    <xf numFmtId="0" fontId="24" fillId="0" borderId="0" xfId="0" applyFont="1"/>
    <xf numFmtId="0" fontId="23" fillId="0" borderId="0" xfId="0" applyFont="1" applyAlignment="1">
      <alignment horizontal="right"/>
    </xf>
    <xf numFmtId="0" fontId="26" fillId="8" borderId="0" xfId="0" applyFont="1" applyFill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170" fontId="21" fillId="6" borderId="10" xfId="0" applyNumberFormat="1" applyFont="1" applyFill="1" applyBorder="1" applyAlignment="1">
      <alignment horizontal="center" vertical="center"/>
    </xf>
    <xf numFmtId="0" fontId="30" fillId="0" borderId="0" xfId="0" applyFont="1" applyAlignment="1">
      <alignment horizontal="left" vertical="top" wrapText="1"/>
    </xf>
    <xf numFmtId="0" fontId="30" fillId="0" borderId="0" xfId="0" applyFont="1" applyAlignment="1">
      <alignment vertical="top" wrapText="1"/>
    </xf>
    <xf numFmtId="0" fontId="18" fillId="4" borderId="0" xfId="4" applyFont="1" applyFill="1" applyAlignment="1" applyProtection="1">
      <alignment horizontal="center" vertical="center"/>
      <protection locked="0"/>
    </xf>
    <xf numFmtId="0" fontId="16" fillId="6" borderId="12" xfId="0" applyFont="1" applyFill="1" applyBorder="1" applyAlignment="1" applyProtection="1">
      <alignment horizontal="center"/>
      <protection locked="0"/>
    </xf>
    <xf numFmtId="0" fontId="16" fillId="6" borderId="13" xfId="0" applyFont="1" applyFill="1" applyBorder="1" applyAlignment="1" applyProtection="1">
      <alignment horizontal="center"/>
      <protection locked="0"/>
    </xf>
    <xf numFmtId="0" fontId="16" fillId="6" borderId="14" xfId="0" applyFont="1" applyFill="1" applyBorder="1" applyAlignment="1" applyProtection="1">
      <alignment horizontal="center"/>
      <protection locked="0"/>
    </xf>
    <xf numFmtId="168" fontId="17" fillId="0" borderId="15" xfId="0" applyNumberFormat="1" applyFont="1" applyBorder="1" applyAlignment="1" applyProtection="1">
      <alignment horizontal="center" vertical="center"/>
      <protection locked="0"/>
    </xf>
    <xf numFmtId="0" fontId="17" fillId="0" borderId="16" xfId="0" applyFont="1" applyBorder="1" applyAlignment="1" applyProtection="1">
      <alignment horizontal="center" vertical="center"/>
      <protection locked="0"/>
    </xf>
    <xf numFmtId="167" fontId="17" fillId="0" borderId="17" xfId="0" applyNumberFormat="1" applyFont="1" applyBorder="1" applyAlignment="1" applyProtection="1">
      <alignment horizontal="center" vertical="center"/>
      <protection locked="0"/>
    </xf>
    <xf numFmtId="168" fontId="4" fillId="0" borderId="15" xfId="0" applyNumberFormat="1" applyFont="1" applyBorder="1" applyAlignment="1" applyProtection="1">
      <alignment horizontal="center" vertical="center"/>
      <protection locked="0"/>
    </xf>
    <xf numFmtId="0" fontId="4" fillId="0" borderId="16" xfId="0" applyFont="1" applyBorder="1" applyAlignment="1" applyProtection="1">
      <alignment horizontal="center" vertical="center"/>
      <protection locked="0"/>
    </xf>
    <xf numFmtId="167" fontId="4" fillId="0" borderId="17" xfId="0" applyNumberFormat="1" applyFont="1" applyBorder="1" applyAlignment="1" applyProtection="1">
      <alignment horizontal="center" vertical="center"/>
      <protection locked="0"/>
    </xf>
    <xf numFmtId="0" fontId="3" fillId="6" borderId="18" xfId="0" applyFont="1" applyFill="1" applyBorder="1" applyAlignment="1" applyProtection="1">
      <alignment horizontal="center" vertical="center"/>
      <protection locked="0"/>
    </xf>
    <xf numFmtId="0" fontId="3" fillId="6" borderId="19" xfId="0" applyFont="1" applyFill="1" applyBorder="1" applyAlignment="1" applyProtection="1">
      <alignment horizontal="center" vertical="center"/>
      <protection locked="0"/>
    </xf>
    <xf numFmtId="167" fontId="3" fillId="6" borderId="20" xfId="0" applyNumberFormat="1" applyFont="1" applyFill="1" applyBorder="1" applyAlignment="1" applyProtection="1">
      <alignment horizontal="center" vertical="center"/>
      <protection locked="0"/>
    </xf>
    <xf numFmtId="0" fontId="29" fillId="9" borderId="21" xfId="0" applyFont="1" applyFill="1" applyBorder="1" applyAlignment="1">
      <alignment horizontal="center" vertical="center"/>
    </xf>
    <xf numFmtId="0" fontId="29" fillId="9" borderId="22" xfId="0" applyFont="1" applyFill="1" applyBorder="1" applyAlignment="1">
      <alignment horizontal="center" vertical="center"/>
    </xf>
    <xf numFmtId="0" fontId="32" fillId="9" borderId="23" xfId="0" applyFont="1" applyFill="1" applyBorder="1" applyAlignment="1">
      <alignment horizontal="center" vertical="center"/>
    </xf>
    <xf numFmtId="171" fontId="28" fillId="0" borderId="21" xfId="0" applyNumberFormat="1" applyFont="1" applyBorder="1" applyAlignment="1">
      <alignment horizontal="center" vertical="center"/>
    </xf>
    <xf numFmtId="170" fontId="28" fillId="0" borderId="22" xfId="0" applyNumberFormat="1" applyFont="1" applyBorder="1" applyAlignment="1">
      <alignment horizontal="center" vertical="center"/>
    </xf>
    <xf numFmtId="170" fontId="28" fillId="0" borderId="23" xfId="0" applyNumberFormat="1" applyFont="1" applyBorder="1" applyAlignment="1">
      <alignment horizontal="center" vertical="center"/>
    </xf>
    <xf numFmtId="0" fontId="27" fillId="0" borderId="24" xfId="0" applyFont="1" applyBorder="1" applyAlignment="1">
      <alignment horizontal="center" vertical="center"/>
    </xf>
    <xf numFmtId="170" fontId="21" fillId="6" borderId="25" xfId="0" applyNumberFormat="1" applyFont="1" applyFill="1" applyBorder="1" applyAlignment="1">
      <alignment horizontal="center" vertical="center"/>
    </xf>
    <xf numFmtId="170" fontId="27" fillId="5" borderId="26" xfId="0" applyNumberFormat="1" applyFont="1" applyFill="1" applyBorder="1" applyAlignment="1">
      <alignment horizontal="center" vertical="center"/>
    </xf>
    <xf numFmtId="0" fontId="29" fillId="9" borderId="27" xfId="0" applyFont="1" applyFill="1" applyBorder="1" applyAlignment="1">
      <alignment horizontal="center" vertical="center"/>
    </xf>
    <xf numFmtId="0" fontId="29" fillId="9" borderId="28" xfId="0" applyFont="1" applyFill="1" applyBorder="1" applyAlignment="1">
      <alignment horizontal="center" vertical="center"/>
    </xf>
    <xf numFmtId="0" fontId="29" fillId="9" borderId="29" xfId="0" applyFont="1" applyFill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0" fontId="3" fillId="6" borderId="0" xfId="0" applyFont="1" applyFill="1" applyProtection="1">
      <protection locked="0"/>
    </xf>
    <xf numFmtId="0" fontId="21" fillId="9" borderId="33" xfId="0" applyFont="1" applyFill="1" applyBorder="1" applyAlignment="1" applyProtection="1">
      <alignment horizontal="center" vertical="center"/>
      <protection locked="0"/>
    </xf>
    <xf numFmtId="170" fontId="21" fillId="9" borderId="34" xfId="0" applyNumberFormat="1" applyFont="1" applyFill="1" applyBorder="1" applyAlignment="1" applyProtection="1">
      <alignment horizontal="center" vertical="center"/>
      <protection locked="0"/>
    </xf>
    <xf numFmtId="170" fontId="21" fillId="9" borderId="35" xfId="0" applyNumberFormat="1" applyFont="1" applyFill="1" applyBorder="1" applyAlignment="1" applyProtection="1">
      <alignment horizontal="center" vertical="center"/>
      <protection locked="0"/>
    </xf>
    <xf numFmtId="170" fontId="28" fillId="0" borderId="22" xfId="0" applyNumberFormat="1" applyFont="1" applyBorder="1" applyAlignment="1" applyProtection="1">
      <alignment horizontal="center" vertical="center"/>
      <protection locked="0"/>
    </xf>
    <xf numFmtId="0" fontId="28" fillId="0" borderId="28" xfId="0" applyFont="1" applyBorder="1" applyAlignment="1" applyProtection="1">
      <alignment horizontal="center" vertical="center"/>
      <protection locked="0"/>
    </xf>
    <xf numFmtId="0" fontId="28" fillId="0" borderId="31" xfId="0" applyFont="1" applyBorder="1" applyAlignment="1" applyProtection="1">
      <alignment horizontal="center" vertical="center"/>
      <protection locked="0"/>
    </xf>
    <xf numFmtId="170" fontId="28" fillId="0" borderId="29" xfId="0" applyNumberFormat="1" applyFont="1" applyBorder="1" applyAlignment="1" applyProtection="1">
      <alignment horizontal="center" vertical="center"/>
      <protection locked="0"/>
    </xf>
    <xf numFmtId="170" fontId="28" fillId="0" borderId="32" xfId="0" applyNumberFormat="1" applyFont="1" applyBorder="1" applyAlignment="1" applyProtection="1">
      <alignment horizontal="center" vertical="center"/>
      <protection locked="0"/>
    </xf>
    <xf numFmtId="0" fontId="13" fillId="4" borderId="5" xfId="0" applyFont="1" applyFill="1" applyBorder="1" applyAlignment="1">
      <alignment horizontal="left" indent="2"/>
    </xf>
    <xf numFmtId="0" fontId="12" fillId="4" borderId="0" xfId="4" applyFont="1" applyFill="1" applyAlignment="1" applyProtection="1">
      <alignment horizontal="center" vertical="center"/>
      <protection locked="0"/>
    </xf>
    <xf numFmtId="0" fontId="9" fillId="4" borderId="5" xfId="0" applyFont="1" applyFill="1" applyBorder="1" applyAlignment="1">
      <alignment horizontal="left" indent="2"/>
    </xf>
    <xf numFmtId="0" fontId="8" fillId="4" borderId="0" xfId="4" applyFont="1" applyFill="1" applyAlignment="1" applyProtection="1">
      <alignment horizontal="center" vertical="center"/>
      <protection locked="0"/>
    </xf>
    <xf numFmtId="167" fontId="3" fillId="6" borderId="0" xfId="1" applyNumberFormat="1" applyFont="1" applyFill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15" fillId="4" borderId="5" xfId="0" applyFont="1" applyFill="1" applyBorder="1" applyAlignment="1">
      <alignment horizontal="left" indent="2"/>
    </xf>
    <xf numFmtId="0" fontId="18" fillId="4" borderId="0" xfId="4" applyFont="1" applyFill="1" applyAlignment="1" applyProtection="1">
      <alignment horizontal="center" vertical="center"/>
      <protection locked="0"/>
    </xf>
    <xf numFmtId="0" fontId="25" fillId="8" borderId="0" xfId="0" applyFont="1" applyFill="1" applyAlignment="1">
      <alignment horizontal="left" indent="2"/>
    </xf>
    <xf numFmtId="0" fontId="27" fillId="8" borderId="11" xfId="0" applyFont="1" applyFill="1" applyBorder="1" applyAlignment="1">
      <alignment horizontal="center"/>
    </xf>
    <xf numFmtId="0" fontId="27" fillId="8" borderId="0" xfId="0" applyFont="1" applyFill="1" applyAlignment="1">
      <alignment horizontal="center"/>
    </xf>
    <xf numFmtId="0" fontId="33" fillId="0" borderId="0" xfId="0" applyFont="1" applyAlignment="1">
      <alignment horizontal="left" vertical="top" wrapText="1"/>
    </xf>
  </cellXfs>
  <cellStyles count="10">
    <cellStyle name="Célula de Verificação" xfId="3" builtinId="23"/>
    <cellStyle name="Excel Built-in Check Cell" xfId="9" xr:uid="{634605DA-91B6-4731-85B4-8423754CF9DB}"/>
    <cellStyle name="Excel Built-in Heading 1" xfId="8" xr:uid="{EFD74039-E670-4566-9D8A-551F7058664D}"/>
    <cellStyle name="Hiperlink" xfId="4" builtinId="8"/>
    <cellStyle name="Hiperlink 2" xfId="7" xr:uid="{C808427A-5183-4C42-891A-665C621AC7FB}"/>
    <cellStyle name="Moeda" xfId="1" builtinId="4"/>
    <cellStyle name="Moeda 2" xfId="6" xr:uid="{AA54B216-F969-4FE9-8181-F081CAEFD1D5}"/>
    <cellStyle name="Normal" xfId="0" builtinId="0"/>
    <cellStyle name="Normal 2" xfId="5" xr:uid="{1488FFE7-2CEB-4DBC-9180-5787D918FD88}"/>
    <cellStyle name="Título 1" xfId="2" builtinId="16"/>
  </cellStyles>
  <dxfs count="22">
    <dxf>
      <font>
        <sz val="10"/>
        <color theme="6" tint="-0.499984740745262"/>
        <name val="Aptos Narrow"/>
        <charset val="1"/>
      </font>
      <fill>
        <patternFill>
          <bgColor theme="9" tint="0.59996337778862885"/>
        </patternFill>
      </fill>
    </dxf>
    <dxf>
      <font>
        <b/>
        <sz val="10"/>
        <color rgb="FF9C0006"/>
        <name val="Aptos Narrow"/>
        <charset val="1"/>
      </font>
      <fill>
        <patternFill>
          <bgColor rgb="FFF4C7C3"/>
        </patternFill>
      </fill>
    </dxf>
    <dxf>
      <font>
        <color theme="6" tint="-0.499984740745262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9" tint="0.59996337778862885"/>
        </patternFill>
      </fill>
    </dxf>
    <dxf>
      <font>
        <sz val="10"/>
        <color theme="6" tint="-0.499984740745262"/>
        <name val="Aptos Narrow"/>
        <charset val="1"/>
      </font>
      <fill>
        <patternFill>
          <bgColor theme="9" tint="0.59996337778862885"/>
        </patternFill>
      </fill>
    </dxf>
    <dxf>
      <font>
        <b/>
        <sz val="10"/>
        <color rgb="FF9C0006"/>
        <name val="Aptos Narrow"/>
        <charset val="1"/>
      </font>
      <fill>
        <patternFill>
          <bgColor rgb="FFF4C7C3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7" formatCode="&quot;R$&quot;\ #,##0.00"/>
      <fill>
        <patternFill patternType="solid">
          <fgColor indexed="64"/>
          <bgColor theme="6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theme="6" tint="-0.499984740745262"/>
        </left>
        <right/>
        <top style="thin">
          <color auto="1"/>
        </top>
        <bottom/>
        <vertical style="hair">
          <color theme="6" tint="-0.499984740745262"/>
        </vertical>
      </border>
      <protection locked="0" hidden="0"/>
    </dxf>
    <dxf>
      <font>
        <b/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numFmt numFmtId="167" formatCode="&quot;R$&quot;\ #,##0.00"/>
      <alignment horizontal="center" vertical="center" textRotation="0" wrapText="0" indent="0" justifyLastLine="0" shrinkToFit="0" readingOrder="0"/>
      <border diagonalUp="0" diagonalDown="0">
        <left style="hair">
          <color theme="6" tint="-0.499984740745262"/>
        </left>
        <right/>
        <top style="thin">
          <color theme="0"/>
        </top>
        <bottom style="thin">
          <color theme="0"/>
        </bottom>
        <vertical style="hair">
          <color theme="6" tint="-0.499984740745262"/>
        </vertical>
        <horizontal style="thin">
          <color theme="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6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theme="6" tint="-0.499984740745262"/>
        </left>
        <right style="hair">
          <color theme="6" tint="-0.499984740745262"/>
        </right>
        <top style="thin">
          <color auto="1"/>
        </top>
        <bottom/>
        <vertical style="hair">
          <color theme="6" tint="-0.499984740745262"/>
        </vertical>
      </border>
      <protection locked="0" hidden="0"/>
    </dxf>
    <dxf>
      <font>
        <b/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theme="6" tint="-0.499984740745262"/>
        </left>
        <right style="hair">
          <color theme="6" tint="-0.499984740745262"/>
        </right>
        <top style="thin">
          <color theme="0"/>
        </top>
        <bottom style="thin">
          <color theme="0"/>
        </bottom>
        <vertical style="hair">
          <color theme="6" tint="-0.499984740745262"/>
        </vertical>
        <horizontal style="thin">
          <color theme="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6" tint="-0.499984740745262"/>
        </patternFill>
      </fill>
      <alignment horizontal="center" vertical="center" textRotation="0" wrapText="0" indent="0" justifyLastLine="0" shrinkToFit="0" readingOrder="0"/>
      <border diagonalUp="0" diagonalDown="0">
        <left/>
        <right style="hair">
          <color theme="6" tint="-0.499984740745262"/>
        </right>
        <top style="thin">
          <color auto="1"/>
        </top>
        <bottom/>
        <vertical style="hair">
          <color theme="6" tint="-0.499984740745262"/>
        </vertical>
      </border>
      <protection locked="0" hidden="0"/>
    </dxf>
    <dxf>
      <font>
        <b/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numFmt numFmtId="168" formatCode="mmmm\-yyyy"/>
      <alignment horizontal="center" vertical="center" textRotation="0" wrapText="0" indent="0" justifyLastLine="0" shrinkToFit="0" readingOrder="0"/>
      <border diagonalUp="0" diagonalDown="0">
        <left/>
        <right style="hair">
          <color theme="6" tint="-0.499984740745262"/>
        </right>
        <top style="thin">
          <color theme="0"/>
        </top>
        <bottom style="thin">
          <color theme="0"/>
        </bottom>
        <vertical style="hair">
          <color theme="6" tint="-0.499984740745262"/>
        </vertical>
        <horizontal style="thin">
          <color theme="0"/>
        </horizontal>
      </border>
      <protection locked="0" hidden="0"/>
    </dxf>
    <dxf>
      <border>
        <top style="thin">
          <color auto="1"/>
        </top>
      </border>
    </dxf>
    <dxf>
      <border diagonalUp="0" diagonalDown="0">
        <left style="hair">
          <color theme="6" tint="-0.499984740745262"/>
        </left>
        <right style="hair">
          <color theme="6" tint="-0.499984740745262"/>
        </right>
        <vertical style="hair">
          <color theme="6" tint="-0.499984740745262"/>
        </vertical>
      </border>
    </dxf>
    <dxf>
      <border diagonalUp="0" diagonalDown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border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family val="2"/>
        <scheme val="minor"/>
      </font>
      <fill>
        <patternFill patternType="solid">
          <fgColor indexed="64"/>
          <bgColor theme="6" tint="-0.499984740745262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theme="6" tint="-0.499984740745262"/>
        </left>
        <right style="hair">
          <color theme="6" tint="-0.499984740745262"/>
        </right>
        <top/>
        <bottom/>
        <vertical style="hair">
          <color theme="6" tint="-0.499984740745262"/>
        </vertical>
        <horizontal style="thin">
          <color theme="0"/>
        </horizontal>
      </border>
      <protection locked="0" hidden="0"/>
    </dxf>
    <dxf>
      <fill>
        <patternFill>
          <fgColor theme="6" tint="-0.499984740745262"/>
          <bgColor rgb="FFFAEBAC"/>
        </patternFill>
      </fill>
    </dxf>
    <dxf>
      <fill>
        <patternFill>
          <fgColor theme="6" tint="-0.499984740745262"/>
          <bgColor theme="6" tint="-0.499984740745262"/>
        </patternFill>
      </fill>
    </dxf>
    <dxf>
      <fill>
        <patternFill>
          <fgColor theme="6" tint="-0.499984740745262"/>
          <bgColor theme="6" tint="-0.499984740745262"/>
        </patternFill>
      </fill>
    </dxf>
  </dxfs>
  <tableStyles count="3" defaultTableStyle="TableStyleMedium2" defaultPivotStyle="PivotStyleLight16">
    <tableStyle name="Estilo de Tabela 1" pivot="0" count="1" xr9:uid="{20231FFD-B589-4598-B6B4-38A1E45E0B86}">
      <tableStyleElement type="firstRowStripe" dxfId="21"/>
    </tableStyle>
    <tableStyle name="Estilo de Tabela 2" pivot="0" count="1" xr9:uid="{74C35FEA-FBB1-4AE8-8A98-AC88789AD53A}">
      <tableStyleElement type="firstRowStripe" dxfId="20"/>
    </tableStyle>
    <tableStyle name="Estilo de Tabela 3" pivot="0" count="1" xr9:uid="{FD333E65-11EE-4DAB-94A5-F5E6919F6993}">
      <tableStyleElement type="firstRowStripe" dxfId="19"/>
    </tableStyle>
  </tableStyles>
  <colors>
    <mruColors>
      <color rgb="FFFEDA75"/>
      <color rgb="FFBF9A33"/>
      <color rgb="FFFAEBAC"/>
      <color rgb="FFFEF176"/>
      <color rgb="FFFEBD14"/>
      <color rgb="FF0E1317"/>
      <color rgb="FFFECE43"/>
      <color rgb="FF2DBE87"/>
      <color rgb="FF2DBE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'[1]NOTAS (2)'!$D$13</c:f>
              <c:strCache>
                <c:ptCount val="1"/>
                <c:pt idx="0">
                  <c:v>TOTAL ENTRADAS (R$)</c:v>
                </c:pt>
              </c:strCache>
            </c:strRef>
          </c:tx>
          <c:spPr>
            <a:solidFill>
              <a:srgbClr val="0C3512"/>
            </a:solidFill>
            <a:ln w="0">
              <a:noFill/>
            </a:ln>
          </c:spPr>
          <c:invertIfNegative val="0"/>
          <c:trendline>
            <c:trendlineType val="linear"/>
            <c:dispRSqr val="0"/>
            <c:dispEq val="0"/>
          </c:trendline>
          <c:cat>
            <c:numRef>
              <c:f>'[1]NOTAS (2)'!$C$14:$C$25</c:f>
              <c:numCache>
                <c:formatCode>General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'[1]NOTAS (2)'!$D$14:$D$25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3000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D6-48DC-812A-0002F4785E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92486828"/>
        <c:axId val="3892157"/>
      </c:barChart>
      <c:lineChart>
        <c:grouping val="standard"/>
        <c:varyColors val="0"/>
        <c:ser>
          <c:idx val="1"/>
          <c:order val="1"/>
          <c:tx>
            <c:strRef>
              <c:f>'[1]NOTAS (2)'!$E$13</c:f>
              <c:strCache>
                <c:ptCount val="1"/>
                <c:pt idx="0">
                  <c:v>LIMITE MENSAL (R$)</c:v>
                </c:pt>
              </c:strCache>
            </c:strRef>
          </c:tx>
          <c:spPr>
            <a:ln w="21960">
              <a:solidFill>
                <a:srgbClr val="C69632"/>
              </a:solidFill>
              <a:prstDash val="dash"/>
              <a:round/>
            </a:ln>
          </c:spPr>
          <c:marker>
            <c:symbol val="none"/>
          </c:marker>
          <c:cat>
            <c:numRef>
              <c:f>'[1]NOTAS (2)'!$C$14:$C$25</c:f>
              <c:numCache>
                <c:formatCode>General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'[1]NOTAS (2)'!$E$14:$E$25</c:f>
              <c:numCache>
                <c:formatCode>General</c:formatCode>
                <c:ptCount val="12"/>
                <c:pt idx="0">
                  <c:v>5000</c:v>
                </c:pt>
                <c:pt idx="1">
                  <c:v>5000</c:v>
                </c:pt>
                <c:pt idx="2">
                  <c:v>5000</c:v>
                </c:pt>
                <c:pt idx="3">
                  <c:v>5000</c:v>
                </c:pt>
                <c:pt idx="4">
                  <c:v>5000</c:v>
                </c:pt>
                <c:pt idx="5">
                  <c:v>5000</c:v>
                </c:pt>
                <c:pt idx="6">
                  <c:v>5000</c:v>
                </c:pt>
                <c:pt idx="7">
                  <c:v>5000</c:v>
                </c:pt>
                <c:pt idx="8">
                  <c:v>5000</c:v>
                </c:pt>
                <c:pt idx="9">
                  <c:v>5000</c:v>
                </c:pt>
                <c:pt idx="10">
                  <c:v>5000</c:v>
                </c:pt>
                <c:pt idx="11">
                  <c:v>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D6-48DC-812A-0002F4785E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2486828"/>
        <c:axId val="3892157"/>
      </c:lineChart>
      <c:catAx>
        <c:axId val="924868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44444"/>
                </a:solidFill>
                <a:latin typeface="Aptos Narrow"/>
              </a:defRPr>
            </a:pPr>
            <a:endParaRPr lang="pt-BR"/>
          </a:p>
        </c:txPr>
        <c:crossAx val="3892157"/>
        <c:crosses val="autoZero"/>
        <c:auto val="1"/>
        <c:lblAlgn val="ctr"/>
        <c:lblOffset val="100"/>
        <c:noMultiLvlLbl val="1"/>
      </c:catAx>
      <c:valAx>
        <c:axId val="3892157"/>
        <c:scaling>
          <c:orientation val="minMax"/>
        </c:scaling>
        <c:delete val="0"/>
        <c:axPos val="l"/>
        <c:majorGridlines>
          <c:spPr>
            <a:ln w="12600">
              <a:solidFill>
                <a:srgbClr val="E0E0E0"/>
              </a:solidFill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44444"/>
                </a:solidFill>
                <a:latin typeface="Aptos Narrow"/>
              </a:defRPr>
            </a:pPr>
            <a:endParaRPr lang="pt-BR"/>
          </a:p>
        </c:txPr>
        <c:crossAx val="924868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carlostakara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carlostakara/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3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carlostakara/" TargetMode="External"/><Relationship Id="rId4" Type="http://schemas.openxmlformats.org/officeDocument/2006/relationships/hyperlink" Target="#NOTAS!C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openxmlformats.org/officeDocument/2006/relationships/chart" Target="../charts/chart1.xml"/><Relationship Id="rId2" Type="http://schemas.openxmlformats.org/officeDocument/2006/relationships/hyperlink" Target="#TITULAR!C1"/><Relationship Id="rId1" Type="http://schemas.openxmlformats.org/officeDocument/2006/relationships/image" Target="../media/image3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carlostakara/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98047</xdr:colOff>
      <xdr:row>5</xdr:row>
      <xdr:rowOff>35577</xdr:rowOff>
    </xdr:from>
    <xdr:to>
      <xdr:col>0</xdr:col>
      <xdr:colOff>1769442</xdr:colOff>
      <xdr:row>13</xdr:row>
      <xdr:rowOff>60927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2384F59-F0E7-4015-8BBF-F6FAF6A8D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047" y="1026177"/>
          <a:ext cx="1671395" cy="1616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9287</xdr:colOff>
      <xdr:row>0</xdr:row>
      <xdr:rowOff>95252</xdr:rowOff>
    </xdr:from>
    <xdr:to>
      <xdr:col>1</xdr:col>
      <xdr:colOff>2732</xdr:colOff>
      <xdr:row>4</xdr:row>
      <xdr:rowOff>97155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C82B06A-F3D0-47AF-98A5-46F64929D137}"/>
            </a:ext>
          </a:extLst>
        </xdr:cNvPr>
        <xdr:cNvSpPr/>
      </xdr:nvSpPr>
      <xdr:spPr>
        <a:xfrm>
          <a:off x="9287" y="95252"/>
          <a:ext cx="1841295" cy="81152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gradFill>
                <a:gsLst>
                  <a:gs pos="0">
                    <a:srgbClr val="FEDA75"/>
                  </a:gs>
                  <a:gs pos="47000">
                    <a:srgbClr val="FECE43"/>
                  </a:gs>
                  <a:gs pos="73000">
                    <a:srgbClr val="FEBD14"/>
                  </a:gs>
                  <a:gs pos="100000">
                    <a:srgbClr val="BF9A33"/>
                  </a:gs>
                </a:gsLst>
                <a:lin ang="0" scaled="0"/>
              </a:gradFill>
              <a:latin typeface="Arial Black" panose="020B0A04020102020204" pitchFamily="34" charset="0"/>
            </a:rPr>
            <a:t>TKR</a:t>
          </a:r>
          <a:r>
            <a:rPr lang="pt-BR" sz="1600" b="1" baseline="0">
              <a:gradFill>
                <a:gsLst>
                  <a:gs pos="0">
                    <a:srgbClr val="FEDA75"/>
                  </a:gs>
                  <a:gs pos="47000">
                    <a:srgbClr val="FECE43"/>
                  </a:gs>
                  <a:gs pos="73000">
                    <a:srgbClr val="FEBD14"/>
                  </a:gs>
                  <a:gs pos="100000">
                    <a:srgbClr val="BF9A33"/>
                  </a:gs>
                </a:gsLst>
                <a:lin ang="0" scaled="0"/>
              </a:gradFill>
              <a:latin typeface="Arial Black" panose="020B0A04020102020204" pitchFamily="34" charset="0"/>
            </a:rPr>
            <a:t> LION </a:t>
          </a:r>
          <a:r>
            <a:rPr lang="pt-BR" sz="1600" b="1" baseline="0">
              <a:gradFill>
                <a:gsLst>
                  <a:gs pos="100000">
                    <a:srgbClr val="FEDA75"/>
                  </a:gs>
                  <a:gs pos="63000">
                    <a:srgbClr val="FECE43"/>
                  </a:gs>
                  <a:gs pos="27000">
                    <a:srgbClr val="FEBD14"/>
                  </a:gs>
                  <a:gs pos="0">
                    <a:srgbClr val="F6D26D"/>
                  </a:gs>
                  <a:gs pos="0">
                    <a:srgbClr val="BF9A33"/>
                  </a:gs>
                </a:gsLst>
                <a:lin ang="0" scaled="0"/>
              </a:gradFill>
              <a:latin typeface="Arial Black" panose="020B0A04020102020204" pitchFamily="34" charset="0"/>
            </a:rPr>
            <a:t>INFORM</a:t>
          </a:r>
          <a:endParaRPr lang="pt-BR" sz="1600" b="1">
            <a:gradFill>
              <a:gsLst>
                <a:gs pos="100000">
                  <a:srgbClr val="FEDA75"/>
                </a:gs>
                <a:gs pos="63000">
                  <a:srgbClr val="FECE43"/>
                </a:gs>
                <a:gs pos="27000">
                  <a:srgbClr val="FEBD14"/>
                </a:gs>
                <a:gs pos="0">
                  <a:srgbClr val="F6D26D"/>
                </a:gs>
                <a:gs pos="0">
                  <a:srgbClr val="BF9A33"/>
                </a:gs>
              </a:gsLst>
              <a:lin ang="0" scaled="0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84144</xdr:colOff>
      <xdr:row>13</xdr:row>
      <xdr:rowOff>184134</xdr:rowOff>
    </xdr:from>
    <xdr:to>
      <xdr:col>0</xdr:col>
      <xdr:colOff>1773819</xdr:colOff>
      <xdr:row>15</xdr:row>
      <xdr:rowOff>142179</xdr:rowOff>
    </xdr:to>
    <xdr:sp macro="" textlink="">
      <xdr:nvSpPr>
        <xdr:cNvPr id="4" name="Retângul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995783D-29E4-4B9B-811D-89F9159CDECB}"/>
            </a:ext>
          </a:extLst>
        </xdr:cNvPr>
        <xdr:cNvSpPr/>
      </xdr:nvSpPr>
      <xdr:spPr>
        <a:xfrm>
          <a:off x="84144" y="2765409"/>
          <a:ext cx="1689675" cy="358095"/>
        </a:xfrm>
        <a:prstGeom prst="rect">
          <a:avLst/>
        </a:prstGeom>
        <a:gradFill>
          <a:gsLst>
            <a:gs pos="87000">
              <a:srgbClr val="FEBD14">
                <a:alpha val="76000"/>
                <a:lumMod val="57000"/>
              </a:srgbClr>
            </a:gs>
            <a:gs pos="22000">
              <a:srgbClr val="F6D26D"/>
            </a:gs>
          </a:gsLst>
          <a:lin ang="135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Britannic Bold" panose="020B090306070302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44824</xdr:colOff>
      <xdr:row>24</xdr:row>
      <xdr:rowOff>112284</xdr:rowOff>
    </xdr:from>
    <xdr:to>
      <xdr:col>0</xdr:col>
      <xdr:colOff>1813140</xdr:colOff>
      <xdr:row>27</xdr:row>
      <xdr:rowOff>76088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D1810C3B-368B-41D4-9BF1-3BF02962D1B0}"/>
            </a:ext>
          </a:extLst>
        </xdr:cNvPr>
        <xdr:cNvSpPr/>
      </xdr:nvSpPr>
      <xdr:spPr>
        <a:xfrm>
          <a:off x="44824" y="4827159"/>
          <a:ext cx="1768316" cy="50672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 baseline="0">
              <a:solidFill>
                <a:srgbClr val="FEDA75"/>
              </a:solidFill>
              <a:effectLst/>
              <a:latin typeface="+mn-lt"/>
              <a:ea typeface="+mn-ea"/>
              <a:cs typeface="+mn-cs"/>
            </a:rPr>
            <a:t>💲</a:t>
          </a:r>
          <a:r>
            <a:rPr lang="pt-BR" sz="1000">
              <a:solidFill>
                <a:srgbClr val="FEDA75"/>
              </a:solidFill>
              <a:latin typeface="Britannic Bold" panose="020B0903060703020204" pitchFamily="34" charset="0"/>
            </a:rPr>
            <a:t>SYSTEM</a:t>
          </a:r>
          <a:r>
            <a:rPr lang="pt-BR" sz="1000" baseline="0">
              <a:solidFill>
                <a:srgbClr val="FEDA75"/>
              </a:solidFill>
              <a:latin typeface="Britannic Bold" panose="020B0903060703020204" pitchFamily="34" charset="0"/>
            </a:rPr>
            <a:t> BY TKARA</a:t>
          </a:r>
          <a:r>
            <a:rPr lang="pt-BR" sz="7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💲</a:t>
          </a:r>
          <a:endParaRPr lang="pt-BR" sz="1000">
            <a:solidFill>
              <a:srgbClr val="FEDA75"/>
            </a:solidFill>
            <a:latin typeface="Britannic Bold" panose="020B0903060703020204" pitchFamily="34" charset="0"/>
          </a:endParaRPr>
        </a:p>
      </xdr:txBody>
    </xdr:sp>
    <xdr:clientData/>
  </xdr:twoCellAnchor>
  <xdr:twoCellAnchor editAs="absolute">
    <xdr:from>
      <xdr:col>0</xdr:col>
      <xdr:colOff>193652</xdr:colOff>
      <xdr:row>23</xdr:row>
      <xdr:rowOff>170052</xdr:rowOff>
    </xdr:from>
    <xdr:to>
      <xdr:col>0</xdr:col>
      <xdr:colOff>1664312</xdr:colOff>
      <xdr:row>23</xdr:row>
      <xdr:rowOff>170052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67324EF-439B-4EB3-8823-9AD6E771D31D}"/>
            </a:ext>
          </a:extLst>
        </xdr:cNvPr>
        <xdr:cNvCxnSpPr/>
      </xdr:nvCxnSpPr>
      <xdr:spPr>
        <a:xfrm>
          <a:off x="193652" y="4703952"/>
          <a:ext cx="147066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84144</xdr:colOff>
      <xdr:row>16</xdr:row>
      <xdr:rowOff>65361</xdr:rowOff>
    </xdr:from>
    <xdr:to>
      <xdr:col>0</xdr:col>
      <xdr:colOff>1773819</xdr:colOff>
      <xdr:row>18</xdr:row>
      <xdr:rowOff>25311</xdr:rowOff>
    </xdr:to>
    <xdr:sp macro="" textlink="">
      <xdr:nvSpPr>
        <xdr:cNvPr id="7" name="Retângulo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FB4B429-65E1-47A6-8FA3-654267A908EB}"/>
            </a:ext>
          </a:extLst>
        </xdr:cNvPr>
        <xdr:cNvSpPr/>
      </xdr:nvSpPr>
      <xdr:spPr>
        <a:xfrm>
          <a:off x="84144" y="3246711"/>
          <a:ext cx="1689675" cy="360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Britannic Bold" panose="020B090306070302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84144</xdr:colOff>
      <xdr:row>18</xdr:row>
      <xdr:rowOff>148518</xdr:rowOff>
    </xdr:from>
    <xdr:to>
      <xdr:col>0</xdr:col>
      <xdr:colOff>1773819</xdr:colOff>
      <xdr:row>20</xdr:row>
      <xdr:rowOff>108468</xdr:rowOff>
    </xdr:to>
    <xdr:sp macro="" textlink="">
      <xdr:nvSpPr>
        <xdr:cNvPr id="8" name="Retângulo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C12E1AE-6FCD-4755-934C-2AA165558FC2}"/>
            </a:ext>
          </a:extLst>
        </xdr:cNvPr>
        <xdr:cNvSpPr/>
      </xdr:nvSpPr>
      <xdr:spPr>
        <a:xfrm>
          <a:off x="84144" y="3729918"/>
          <a:ext cx="1689675" cy="360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Britannic Bold" panose="020B090306070302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625134</xdr:colOff>
      <xdr:row>28</xdr:row>
      <xdr:rowOff>22127</xdr:rowOff>
    </xdr:from>
    <xdr:to>
      <xdr:col>0</xdr:col>
      <xdr:colOff>1234734</xdr:colOff>
      <xdr:row>31</xdr:row>
      <xdr:rowOff>54309</xdr:rowOff>
    </xdr:to>
    <xdr:pic>
      <xdr:nvPicPr>
        <xdr:cNvPr id="9" name="Imagem 8" descr="Linkedin Logo White PNGs for Free Download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A88BB91-406B-41A5-BB8B-ED93D06C8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134" y="5460902"/>
          <a:ext cx="609600" cy="5751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82134</xdr:colOff>
      <xdr:row>21</xdr:row>
      <xdr:rowOff>41175</xdr:rowOff>
    </xdr:from>
    <xdr:to>
      <xdr:col>0</xdr:col>
      <xdr:colOff>1777734</xdr:colOff>
      <xdr:row>23</xdr:row>
      <xdr:rowOff>46845</xdr:rowOff>
    </xdr:to>
    <xdr:sp macro="" textlink="">
      <xdr:nvSpPr>
        <xdr:cNvPr id="10" name="Retângulo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2BC03FA-C939-43A9-9527-261DD543441A}"/>
            </a:ext>
          </a:extLst>
        </xdr:cNvPr>
        <xdr:cNvSpPr/>
      </xdr:nvSpPr>
      <xdr:spPr>
        <a:xfrm>
          <a:off x="82134" y="4213125"/>
          <a:ext cx="1695600" cy="3676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Britannic Bold" panose="020B0903060703020204" pitchFamily="34" charset="0"/>
            </a:rPr>
            <a:t>IR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96107</xdr:colOff>
      <xdr:row>4</xdr:row>
      <xdr:rowOff>178458</xdr:rowOff>
    </xdr:from>
    <xdr:to>
      <xdr:col>0</xdr:col>
      <xdr:colOff>1772222</xdr:colOff>
      <xdr:row>13</xdr:row>
      <xdr:rowOff>124918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B561674-3EC6-4DB3-A4AF-4120C3C43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07" y="988083"/>
          <a:ext cx="1676115" cy="16323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12145</xdr:colOff>
      <xdr:row>0</xdr:row>
      <xdr:rowOff>95252</xdr:rowOff>
    </xdr:from>
    <xdr:to>
      <xdr:col>1</xdr:col>
      <xdr:colOff>8334</xdr:colOff>
      <xdr:row>4</xdr:row>
      <xdr:rowOff>97155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DFAC0D3-291B-485A-B531-A7A66C4FC1BD}"/>
            </a:ext>
          </a:extLst>
        </xdr:cNvPr>
        <xdr:cNvSpPr/>
      </xdr:nvSpPr>
      <xdr:spPr>
        <a:xfrm>
          <a:off x="12145" y="95252"/>
          <a:ext cx="1844039" cy="81152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gradFill>
                <a:gsLst>
                  <a:gs pos="0">
                    <a:srgbClr val="FEDA75"/>
                  </a:gs>
                  <a:gs pos="47000">
                    <a:srgbClr val="FECE43"/>
                  </a:gs>
                  <a:gs pos="73000">
                    <a:srgbClr val="FEBD14"/>
                  </a:gs>
                  <a:gs pos="100000">
                    <a:srgbClr val="BF9A33"/>
                  </a:gs>
                </a:gsLst>
                <a:lin ang="0" scaled="0"/>
              </a:gradFill>
              <a:latin typeface="Arial Black" panose="020B0A04020102020204" pitchFamily="34" charset="0"/>
            </a:rPr>
            <a:t>TKR</a:t>
          </a:r>
          <a:r>
            <a:rPr lang="pt-BR" sz="1600" b="1" baseline="0">
              <a:gradFill>
                <a:gsLst>
                  <a:gs pos="0">
                    <a:srgbClr val="FEDA75"/>
                  </a:gs>
                  <a:gs pos="47000">
                    <a:srgbClr val="FECE43"/>
                  </a:gs>
                  <a:gs pos="73000">
                    <a:srgbClr val="FEBD14"/>
                  </a:gs>
                  <a:gs pos="100000">
                    <a:srgbClr val="BF9A33"/>
                  </a:gs>
                </a:gsLst>
                <a:lin ang="0" scaled="0"/>
              </a:gradFill>
              <a:latin typeface="Arial Black" panose="020B0A04020102020204" pitchFamily="34" charset="0"/>
            </a:rPr>
            <a:t> LION </a:t>
          </a:r>
          <a:r>
            <a:rPr lang="pt-BR" sz="1600" b="1" baseline="0">
              <a:gradFill>
                <a:gsLst>
                  <a:gs pos="100000">
                    <a:srgbClr val="FEDA75"/>
                  </a:gs>
                  <a:gs pos="63000">
                    <a:srgbClr val="FECE43"/>
                  </a:gs>
                  <a:gs pos="27000">
                    <a:srgbClr val="FEBD14"/>
                  </a:gs>
                  <a:gs pos="0">
                    <a:srgbClr val="F6D26D"/>
                  </a:gs>
                  <a:gs pos="0">
                    <a:srgbClr val="BF9A33"/>
                  </a:gs>
                </a:gsLst>
                <a:lin ang="0" scaled="0"/>
              </a:gradFill>
              <a:latin typeface="Arial Black" panose="020B0A04020102020204" pitchFamily="34" charset="0"/>
            </a:rPr>
            <a:t>INFORM</a:t>
          </a:r>
          <a:endParaRPr lang="pt-BR" sz="1600" b="1">
            <a:gradFill>
              <a:gsLst>
                <a:gs pos="100000">
                  <a:srgbClr val="FEDA75"/>
                </a:gs>
                <a:gs pos="63000">
                  <a:srgbClr val="FECE43"/>
                </a:gs>
                <a:gs pos="27000">
                  <a:srgbClr val="FEBD14"/>
                </a:gs>
                <a:gs pos="0">
                  <a:srgbClr val="F6D26D"/>
                </a:gs>
                <a:gs pos="0">
                  <a:srgbClr val="BF9A33"/>
                </a:gs>
              </a:gsLst>
              <a:lin ang="0" scaled="0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86364</xdr:colOff>
      <xdr:row>14</xdr:row>
      <xdr:rowOff>29056</xdr:rowOff>
    </xdr:from>
    <xdr:to>
      <xdr:col>0</xdr:col>
      <xdr:colOff>1781964</xdr:colOff>
      <xdr:row>16</xdr:row>
      <xdr:rowOff>8056</xdr:rowOff>
    </xdr:to>
    <xdr:sp macro="" textlink="">
      <xdr:nvSpPr>
        <xdr:cNvPr id="4" name="Retângul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2967F69-0688-4BFE-8C08-F9834676549A}"/>
            </a:ext>
          </a:extLst>
        </xdr:cNvPr>
        <xdr:cNvSpPr/>
      </xdr:nvSpPr>
      <xdr:spPr>
        <a:xfrm>
          <a:off x="86364" y="2705581"/>
          <a:ext cx="1695600" cy="3695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Britannic Bold" panose="020B090306070302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37624</xdr:colOff>
      <xdr:row>23</xdr:row>
      <xdr:rowOff>157261</xdr:rowOff>
    </xdr:from>
    <xdr:to>
      <xdr:col>0</xdr:col>
      <xdr:colOff>1830705</xdr:colOff>
      <xdr:row>26</xdr:row>
      <xdr:rowOff>117842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632061BE-A35F-4671-AD4D-BC678309F19A}"/>
            </a:ext>
          </a:extLst>
        </xdr:cNvPr>
        <xdr:cNvSpPr/>
      </xdr:nvSpPr>
      <xdr:spPr>
        <a:xfrm>
          <a:off x="37624" y="4576861"/>
          <a:ext cx="1793081" cy="50350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 baseline="0">
              <a:solidFill>
                <a:srgbClr val="FEDA75"/>
              </a:solidFill>
              <a:effectLst/>
              <a:latin typeface="+mn-lt"/>
              <a:ea typeface="+mn-ea"/>
              <a:cs typeface="+mn-cs"/>
            </a:rPr>
            <a:t>💲</a:t>
          </a:r>
          <a:r>
            <a:rPr lang="pt-BR" sz="1000">
              <a:solidFill>
                <a:srgbClr val="FEDA75"/>
              </a:solidFill>
              <a:latin typeface="Britannic Bold" panose="020B0903060703020204" pitchFamily="34" charset="0"/>
            </a:rPr>
            <a:t>SYSTEM</a:t>
          </a:r>
          <a:r>
            <a:rPr lang="pt-BR" sz="1000" baseline="0">
              <a:solidFill>
                <a:srgbClr val="FEDA75"/>
              </a:solidFill>
              <a:latin typeface="Britannic Bold" panose="020B0903060703020204" pitchFamily="34" charset="0"/>
            </a:rPr>
            <a:t> BY TKARA</a:t>
          </a:r>
          <a:r>
            <a:rPr lang="pt-BR" sz="7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💲</a:t>
          </a:r>
          <a:endParaRPr lang="pt-BR" sz="1000">
            <a:solidFill>
              <a:srgbClr val="FEDA75"/>
            </a:solidFill>
            <a:latin typeface="Britannic Bold" panose="020B0903060703020204" pitchFamily="34" charset="0"/>
          </a:endParaRPr>
        </a:p>
      </xdr:txBody>
    </xdr:sp>
    <xdr:clientData/>
  </xdr:twoCellAnchor>
  <xdr:twoCellAnchor editAs="absolute">
    <xdr:from>
      <xdr:col>0</xdr:col>
      <xdr:colOff>182642</xdr:colOff>
      <xdr:row>23</xdr:row>
      <xdr:rowOff>72148</xdr:rowOff>
    </xdr:from>
    <xdr:to>
      <xdr:col>0</xdr:col>
      <xdr:colOff>1685687</xdr:colOff>
      <xdr:row>23</xdr:row>
      <xdr:rowOff>72148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E77D16A-D273-4DFC-A182-C9C2D0CC5190}"/>
            </a:ext>
          </a:extLst>
        </xdr:cNvPr>
        <xdr:cNvCxnSpPr/>
      </xdr:nvCxnSpPr>
      <xdr:spPr>
        <a:xfrm>
          <a:off x="182642" y="4491748"/>
          <a:ext cx="150304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82659</xdr:colOff>
      <xdr:row>16</xdr:row>
      <xdr:rowOff>93169</xdr:rowOff>
    </xdr:from>
    <xdr:to>
      <xdr:col>0</xdr:col>
      <xdr:colOff>1787574</xdr:colOff>
      <xdr:row>18</xdr:row>
      <xdr:rowOff>56929</xdr:rowOff>
    </xdr:to>
    <xdr:sp macro="" textlink="">
      <xdr:nvSpPr>
        <xdr:cNvPr id="7" name="Retângulo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4898F96-63BE-40C3-AD31-140ADC22D868}"/>
            </a:ext>
          </a:extLst>
        </xdr:cNvPr>
        <xdr:cNvSpPr/>
      </xdr:nvSpPr>
      <xdr:spPr>
        <a:xfrm>
          <a:off x="82659" y="3160219"/>
          <a:ext cx="1704915" cy="354285"/>
        </a:xfrm>
        <a:prstGeom prst="rect">
          <a:avLst/>
        </a:prstGeom>
        <a:gradFill>
          <a:gsLst>
            <a:gs pos="87000">
              <a:srgbClr val="FEBD14">
                <a:alpha val="76000"/>
                <a:lumMod val="57000"/>
              </a:srgbClr>
            </a:gs>
            <a:gs pos="22000">
              <a:srgbClr val="F6D26D"/>
            </a:gs>
          </a:gsLst>
          <a:lin ang="135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Britannic Bold" panose="020B090306070302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86364</xdr:colOff>
      <xdr:row>18</xdr:row>
      <xdr:rowOff>142042</xdr:rowOff>
    </xdr:from>
    <xdr:to>
      <xdr:col>0</xdr:col>
      <xdr:colOff>1781964</xdr:colOff>
      <xdr:row>20</xdr:row>
      <xdr:rowOff>136282</xdr:rowOff>
    </xdr:to>
    <xdr:sp macro="" textlink="">
      <xdr:nvSpPr>
        <xdr:cNvPr id="8" name="Retângulo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CA3766C-A70F-4EF2-A7E0-095DBA5A7FFE}"/>
            </a:ext>
          </a:extLst>
        </xdr:cNvPr>
        <xdr:cNvSpPr/>
      </xdr:nvSpPr>
      <xdr:spPr>
        <a:xfrm>
          <a:off x="86364" y="3599617"/>
          <a:ext cx="1695600" cy="36571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Britannic Bold" panose="020B090306070302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629364</xdr:colOff>
      <xdr:row>27</xdr:row>
      <xdr:rowOff>25791</xdr:rowOff>
    </xdr:from>
    <xdr:to>
      <xdr:col>0</xdr:col>
      <xdr:colOff>1238964</xdr:colOff>
      <xdr:row>30</xdr:row>
      <xdr:rowOff>60171</xdr:rowOff>
    </xdr:to>
    <xdr:pic>
      <xdr:nvPicPr>
        <xdr:cNvPr id="9" name="Imagem 8" descr="Linkedin Logo White PNGs for Free Download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FEA4DD2-E8BB-4E72-A3C8-7A7E98C65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364" y="5169291"/>
          <a:ext cx="609600" cy="577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88374</xdr:colOff>
      <xdr:row>21</xdr:row>
      <xdr:rowOff>21370</xdr:rowOff>
    </xdr:from>
    <xdr:to>
      <xdr:col>0</xdr:col>
      <xdr:colOff>1779954</xdr:colOff>
      <xdr:row>22</xdr:row>
      <xdr:rowOff>177535</xdr:rowOff>
    </xdr:to>
    <xdr:sp macro="" textlink="">
      <xdr:nvSpPr>
        <xdr:cNvPr id="10" name="Retângulo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C375EE7-099A-4B2E-A7EC-5ED4B1A344E8}"/>
            </a:ext>
          </a:extLst>
        </xdr:cNvPr>
        <xdr:cNvSpPr/>
      </xdr:nvSpPr>
      <xdr:spPr>
        <a:xfrm>
          <a:off x="88374" y="4050445"/>
          <a:ext cx="1691580" cy="3561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Britannic Bold" panose="020B0903060703020204" pitchFamily="34" charset="0"/>
            </a:rPr>
            <a:t>IR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94734</xdr:colOff>
      <xdr:row>5</xdr:row>
      <xdr:rowOff>13312</xdr:rowOff>
    </xdr:from>
    <xdr:to>
      <xdr:col>0</xdr:col>
      <xdr:colOff>1770849</xdr:colOff>
      <xdr:row>13</xdr:row>
      <xdr:rowOff>133105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F38BC21-7129-40C5-8BB1-9AF7BCB61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354" y="1000102"/>
          <a:ext cx="1668495" cy="15790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17859</xdr:colOff>
      <xdr:row>0</xdr:row>
      <xdr:rowOff>91442</xdr:rowOff>
    </xdr:from>
    <xdr:to>
      <xdr:col>1</xdr:col>
      <xdr:colOff>20829</xdr:colOff>
      <xdr:row>4</xdr:row>
      <xdr:rowOff>91817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4F44D6D8-8690-48D4-9086-CA1DB48A366B}"/>
            </a:ext>
          </a:extLst>
        </xdr:cNvPr>
        <xdr:cNvSpPr/>
      </xdr:nvSpPr>
      <xdr:spPr>
        <a:xfrm>
          <a:off x="17859" y="91442"/>
          <a:ext cx="1843200" cy="810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gradFill>
                <a:gsLst>
                  <a:gs pos="0">
                    <a:srgbClr val="FEDA75"/>
                  </a:gs>
                  <a:gs pos="47000">
                    <a:srgbClr val="FECE43"/>
                  </a:gs>
                  <a:gs pos="73000">
                    <a:srgbClr val="FEBD14"/>
                  </a:gs>
                  <a:gs pos="100000">
                    <a:srgbClr val="BF9A33"/>
                  </a:gs>
                </a:gsLst>
                <a:lin ang="0" scaled="0"/>
              </a:gradFill>
              <a:latin typeface="Arial Black" panose="020B0A04020102020204" pitchFamily="34" charset="0"/>
            </a:rPr>
            <a:t>TKR</a:t>
          </a:r>
          <a:r>
            <a:rPr lang="pt-BR" sz="1600" b="1" baseline="0">
              <a:gradFill>
                <a:gsLst>
                  <a:gs pos="0">
                    <a:srgbClr val="FEDA75"/>
                  </a:gs>
                  <a:gs pos="47000">
                    <a:srgbClr val="FECE43"/>
                  </a:gs>
                  <a:gs pos="73000">
                    <a:srgbClr val="FEBD14"/>
                  </a:gs>
                  <a:gs pos="100000">
                    <a:srgbClr val="BF9A33"/>
                  </a:gs>
                </a:gsLst>
                <a:lin ang="0" scaled="0"/>
              </a:gradFill>
              <a:latin typeface="Arial Black" panose="020B0A04020102020204" pitchFamily="34" charset="0"/>
            </a:rPr>
            <a:t> LION </a:t>
          </a:r>
          <a:r>
            <a:rPr lang="pt-BR" sz="1600" b="1" baseline="0">
              <a:gradFill>
                <a:gsLst>
                  <a:gs pos="100000">
                    <a:srgbClr val="FEDA75"/>
                  </a:gs>
                  <a:gs pos="63000">
                    <a:srgbClr val="FECE43"/>
                  </a:gs>
                  <a:gs pos="27000">
                    <a:srgbClr val="FEBD14"/>
                  </a:gs>
                  <a:gs pos="0">
                    <a:srgbClr val="F6D26D"/>
                  </a:gs>
                  <a:gs pos="0">
                    <a:srgbClr val="BF9A33"/>
                  </a:gs>
                </a:gsLst>
                <a:lin ang="0" scaled="0"/>
              </a:gradFill>
              <a:latin typeface="Arial Black" panose="020B0A04020102020204" pitchFamily="34" charset="0"/>
            </a:rPr>
            <a:t>INFORM</a:t>
          </a:r>
          <a:endParaRPr lang="pt-BR" sz="1600" b="1">
            <a:gradFill>
              <a:gsLst>
                <a:gs pos="100000">
                  <a:srgbClr val="FEDA75"/>
                </a:gs>
                <a:gs pos="63000">
                  <a:srgbClr val="FECE43"/>
                </a:gs>
                <a:gs pos="27000">
                  <a:srgbClr val="FEBD14"/>
                </a:gs>
                <a:gs pos="0">
                  <a:srgbClr val="F6D26D"/>
                </a:gs>
                <a:gs pos="0">
                  <a:srgbClr val="BF9A33"/>
                </a:gs>
              </a:gsLst>
              <a:lin ang="0" scaled="0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93877</xdr:colOff>
      <xdr:row>14</xdr:row>
      <xdr:rowOff>54600</xdr:rowOff>
    </xdr:from>
    <xdr:to>
      <xdr:col>0</xdr:col>
      <xdr:colOff>1788851</xdr:colOff>
      <xdr:row>16</xdr:row>
      <xdr:rowOff>53969</xdr:rowOff>
    </xdr:to>
    <xdr:sp macro="" textlink="">
      <xdr:nvSpPr>
        <xdr:cNvPr id="4" name="Retângul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21BDE4C-DF2C-4BB1-BE2C-11427AFA67B0}"/>
            </a:ext>
          </a:extLst>
        </xdr:cNvPr>
        <xdr:cNvSpPr/>
      </xdr:nvSpPr>
      <xdr:spPr>
        <a:xfrm>
          <a:off x="93877" y="2673975"/>
          <a:ext cx="1694974" cy="36131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Britannic Bold" panose="020B090306070302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47681</xdr:colOff>
      <xdr:row>24</xdr:row>
      <xdr:rowOff>154118</xdr:rowOff>
    </xdr:from>
    <xdr:to>
      <xdr:col>0</xdr:col>
      <xdr:colOff>1844572</xdr:colOff>
      <xdr:row>27</xdr:row>
      <xdr:rowOff>95063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5B738713-BE5F-4667-BF38-4D5DFE5A1AB5}"/>
            </a:ext>
          </a:extLst>
        </xdr:cNvPr>
        <xdr:cNvSpPr/>
      </xdr:nvSpPr>
      <xdr:spPr>
        <a:xfrm>
          <a:off x="43871" y="4583243"/>
          <a:ext cx="1794986" cy="4914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 baseline="0">
              <a:solidFill>
                <a:srgbClr val="FEDA75"/>
              </a:solidFill>
              <a:effectLst/>
              <a:latin typeface="+mn-lt"/>
              <a:ea typeface="+mn-ea"/>
              <a:cs typeface="+mn-cs"/>
            </a:rPr>
            <a:t>💲</a:t>
          </a:r>
          <a:r>
            <a:rPr lang="pt-BR" sz="1000">
              <a:solidFill>
                <a:srgbClr val="FEDA75"/>
              </a:solidFill>
              <a:latin typeface="Britannic Bold" panose="020B0903060703020204" pitchFamily="34" charset="0"/>
            </a:rPr>
            <a:t>SYSTEM</a:t>
          </a:r>
          <a:r>
            <a:rPr lang="pt-BR" sz="1000" baseline="0">
              <a:solidFill>
                <a:srgbClr val="FEDA75"/>
              </a:solidFill>
              <a:latin typeface="Britannic Bold" panose="020B0903060703020204" pitchFamily="34" charset="0"/>
            </a:rPr>
            <a:t> BY TKARA</a:t>
          </a:r>
          <a:r>
            <a:rPr lang="pt-BR" sz="7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💲</a:t>
          </a:r>
          <a:endParaRPr lang="pt-BR" sz="1000">
            <a:solidFill>
              <a:srgbClr val="FEDA75"/>
            </a:solidFill>
            <a:latin typeface="Britannic Bold" panose="020B0903060703020204" pitchFamily="34" charset="0"/>
          </a:endParaRPr>
        </a:p>
      </xdr:txBody>
    </xdr:sp>
    <xdr:clientData/>
  </xdr:twoCellAnchor>
  <xdr:twoCellAnchor editAs="absolute">
    <xdr:from>
      <xdr:col>0</xdr:col>
      <xdr:colOff>200319</xdr:colOff>
      <xdr:row>24</xdr:row>
      <xdr:rowOff>59268</xdr:rowOff>
    </xdr:from>
    <xdr:to>
      <xdr:col>0</xdr:col>
      <xdr:colOff>1691934</xdr:colOff>
      <xdr:row>24</xdr:row>
      <xdr:rowOff>59268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A4AF2963-CEDA-46C1-B8CD-056DF7F6E106}"/>
            </a:ext>
          </a:extLst>
        </xdr:cNvPr>
        <xdr:cNvCxnSpPr/>
      </xdr:nvCxnSpPr>
      <xdr:spPr>
        <a:xfrm>
          <a:off x="196509" y="4488393"/>
          <a:ext cx="148971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93564</xdr:colOff>
      <xdr:row>16</xdr:row>
      <xdr:rowOff>148819</xdr:rowOff>
    </xdr:from>
    <xdr:to>
      <xdr:col>0</xdr:col>
      <xdr:colOff>1789164</xdr:colOff>
      <xdr:row>18</xdr:row>
      <xdr:rowOff>139249</xdr:rowOff>
    </xdr:to>
    <xdr:sp macro="" textlink="">
      <xdr:nvSpPr>
        <xdr:cNvPr id="7" name="Retângulo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6DE1B86-AE7D-4C26-A9AD-73E61651D7BC}"/>
            </a:ext>
          </a:extLst>
        </xdr:cNvPr>
        <xdr:cNvSpPr/>
      </xdr:nvSpPr>
      <xdr:spPr>
        <a:xfrm>
          <a:off x="93564" y="3130144"/>
          <a:ext cx="1695600" cy="3561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Britannic Bold" panose="020B090306070302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97374</xdr:colOff>
      <xdr:row>19</xdr:row>
      <xdr:rowOff>56934</xdr:rowOff>
    </xdr:from>
    <xdr:to>
      <xdr:col>0</xdr:col>
      <xdr:colOff>1779639</xdr:colOff>
      <xdr:row>21</xdr:row>
      <xdr:rowOff>56303</xdr:rowOff>
    </xdr:to>
    <xdr:sp macro="" textlink="">
      <xdr:nvSpPr>
        <xdr:cNvPr id="8" name="Retângulo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D9A8687-0327-4990-A741-91F118FB907A}"/>
            </a:ext>
          </a:extLst>
        </xdr:cNvPr>
        <xdr:cNvSpPr/>
      </xdr:nvSpPr>
      <xdr:spPr>
        <a:xfrm>
          <a:off x="97374" y="3581184"/>
          <a:ext cx="1686075" cy="361319"/>
        </a:xfrm>
        <a:prstGeom prst="rect">
          <a:avLst/>
        </a:prstGeom>
        <a:gradFill>
          <a:gsLst>
            <a:gs pos="87000">
              <a:srgbClr val="FEBD14">
                <a:alpha val="76000"/>
                <a:lumMod val="57000"/>
              </a:srgbClr>
            </a:gs>
            <a:gs pos="22000">
              <a:srgbClr val="F6D26D"/>
            </a:gs>
          </a:gsLst>
          <a:lin ang="135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Britannic Bold" panose="020B090306070302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627039</xdr:colOff>
      <xdr:row>28</xdr:row>
      <xdr:rowOff>20369</xdr:rowOff>
    </xdr:from>
    <xdr:to>
      <xdr:col>0</xdr:col>
      <xdr:colOff>1236639</xdr:colOff>
      <xdr:row>31</xdr:row>
      <xdr:rowOff>58559</xdr:rowOff>
    </xdr:to>
    <xdr:pic>
      <xdr:nvPicPr>
        <xdr:cNvPr id="9" name="Imagem 8" descr="Linkedin Logo White PNGs for Free Download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79388B5-2B95-4A4C-84C5-EE039CD14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659" y="5165774"/>
          <a:ext cx="609600" cy="581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97374</xdr:colOff>
      <xdr:row>21</xdr:row>
      <xdr:rowOff>151153</xdr:rowOff>
    </xdr:from>
    <xdr:to>
      <xdr:col>0</xdr:col>
      <xdr:colOff>1779639</xdr:colOff>
      <xdr:row>23</xdr:row>
      <xdr:rowOff>141583</xdr:rowOff>
    </xdr:to>
    <xdr:sp macro="" textlink="">
      <xdr:nvSpPr>
        <xdr:cNvPr id="10" name="Retângulo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509E64F-7E3B-4EBE-9CE6-FB1DEA83EDB7}"/>
            </a:ext>
          </a:extLst>
        </xdr:cNvPr>
        <xdr:cNvSpPr/>
      </xdr:nvSpPr>
      <xdr:spPr>
        <a:xfrm>
          <a:off x="97374" y="4037353"/>
          <a:ext cx="1686075" cy="3561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Britannic Bold" panose="020B0903060703020204" pitchFamily="34" charset="0"/>
            </a:rPr>
            <a:t>IR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94496</xdr:colOff>
      <xdr:row>5</xdr:row>
      <xdr:rowOff>39100</xdr:rowOff>
    </xdr:from>
    <xdr:to>
      <xdr:col>0</xdr:col>
      <xdr:colOff>1772516</xdr:colOff>
      <xdr:row>13</xdr:row>
      <xdr:rowOff>169761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C7CC06D-B3D4-4D65-BF0A-4BF2ED8AD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306" y="991600"/>
          <a:ext cx="1670400" cy="1597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20479</xdr:colOff>
      <xdr:row>0</xdr:row>
      <xdr:rowOff>91442</xdr:rowOff>
    </xdr:from>
    <xdr:to>
      <xdr:col>1</xdr:col>
      <xdr:colOff>19639</xdr:colOff>
      <xdr:row>4</xdr:row>
      <xdr:rowOff>129917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5FCA7BDD-FD31-46B7-8B46-7E0D1EDDB808}"/>
            </a:ext>
          </a:extLst>
        </xdr:cNvPr>
        <xdr:cNvSpPr/>
      </xdr:nvSpPr>
      <xdr:spPr>
        <a:xfrm>
          <a:off x="16669" y="95252"/>
          <a:ext cx="1841295" cy="810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gradFill>
                <a:gsLst>
                  <a:gs pos="0">
                    <a:srgbClr val="FEDA75"/>
                  </a:gs>
                  <a:gs pos="47000">
                    <a:srgbClr val="FECE43"/>
                  </a:gs>
                  <a:gs pos="73000">
                    <a:srgbClr val="FEBD14"/>
                  </a:gs>
                  <a:gs pos="100000">
                    <a:srgbClr val="BF9A33"/>
                  </a:gs>
                </a:gsLst>
                <a:lin ang="0" scaled="0"/>
              </a:gradFill>
              <a:latin typeface="Arial Black" panose="020B0A04020102020204" pitchFamily="34" charset="0"/>
            </a:rPr>
            <a:t>TKR</a:t>
          </a:r>
          <a:r>
            <a:rPr lang="pt-BR" sz="1600" b="1" baseline="0">
              <a:gradFill>
                <a:gsLst>
                  <a:gs pos="0">
                    <a:srgbClr val="FEDA75"/>
                  </a:gs>
                  <a:gs pos="47000">
                    <a:srgbClr val="FECE43"/>
                  </a:gs>
                  <a:gs pos="73000">
                    <a:srgbClr val="FEBD14"/>
                  </a:gs>
                  <a:gs pos="100000">
                    <a:srgbClr val="BF9A33"/>
                  </a:gs>
                </a:gsLst>
                <a:lin ang="0" scaled="0"/>
              </a:gradFill>
              <a:latin typeface="Arial Black" panose="020B0A04020102020204" pitchFamily="34" charset="0"/>
            </a:rPr>
            <a:t> LION </a:t>
          </a:r>
          <a:r>
            <a:rPr lang="pt-BR" sz="1600" b="1" baseline="0">
              <a:gradFill>
                <a:gsLst>
                  <a:gs pos="100000">
                    <a:srgbClr val="FEDA75"/>
                  </a:gs>
                  <a:gs pos="63000">
                    <a:srgbClr val="FECE43"/>
                  </a:gs>
                  <a:gs pos="27000">
                    <a:srgbClr val="FEBD14"/>
                  </a:gs>
                  <a:gs pos="0">
                    <a:srgbClr val="F6D26D"/>
                  </a:gs>
                  <a:gs pos="0">
                    <a:srgbClr val="BF9A33"/>
                  </a:gs>
                </a:gsLst>
                <a:lin ang="0" scaled="0"/>
              </a:gradFill>
              <a:latin typeface="Arial Black" panose="020B0A04020102020204" pitchFamily="34" charset="0"/>
            </a:rPr>
            <a:t>INFORM</a:t>
          </a:r>
          <a:endParaRPr lang="pt-BR" sz="1600" b="1">
            <a:gradFill>
              <a:gsLst>
                <a:gs pos="100000">
                  <a:srgbClr val="FEDA75"/>
                </a:gs>
                <a:gs pos="63000">
                  <a:srgbClr val="FECE43"/>
                </a:gs>
                <a:gs pos="27000">
                  <a:srgbClr val="FEBD14"/>
                </a:gs>
                <a:gs pos="0">
                  <a:srgbClr val="F6D26D"/>
                </a:gs>
                <a:gs pos="0">
                  <a:srgbClr val="BF9A33"/>
                </a:gs>
              </a:gsLst>
              <a:lin ang="0" scaled="0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95544</xdr:colOff>
      <xdr:row>14</xdr:row>
      <xdr:rowOff>75134</xdr:rowOff>
    </xdr:from>
    <xdr:to>
      <xdr:col>0</xdr:col>
      <xdr:colOff>1779088</xdr:colOff>
      <xdr:row>16</xdr:row>
      <xdr:rowOff>74503</xdr:rowOff>
    </xdr:to>
    <xdr:sp macro="" textlink="">
      <xdr:nvSpPr>
        <xdr:cNvPr id="4" name="Retângul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2F6D24C-D484-4014-B0CC-3F73325B7B74}"/>
            </a:ext>
          </a:extLst>
        </xdr:cNvPr>
        <xdr:cNvSpPr/>
      </xdr:nvSpPr>
      <xdr:spPr>
        <a:xfrm>
          <a:off x="91734" y="2679269"/>
          <a:ext cx="1693069" cy="36131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Britannic Bold" panose="020B090306070302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50301</xdr:colOff>
      <xdr:row>24</xdr:row>
      <xdr:rowOff>170241</xdr:rowOff>
    </xdr:from>
    <xdr:to>
      <xdr:col>0</xdr:col>
      <xdr:colOff>1831952</xdr:colOff>
      <xdr:row>27</xdr:row>
      <xdr:rowOff>139761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2DA169A7-2433-4EAC-BE6F-C77CB48C7B17}"/>
            </a:ext>
          </a:extLst>
        </xdr:cNvPr>
        <xdr:cNvSpPr/>
      </xdr:nvSpPr>
      <xdr:spPr>
        <a:xfrm>
          <a:off x="44586" y="4580316"/>
          <a:ext cx="1787366" cy="514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700" baseline="0">
              <a:solidFill>
                <a:srgbClr val="FEDA75"/>
              </a:solidFill>
              <a:effectLst/>
              <a:latin typeface="+mn-lt"/>
              <a:ea typeface="+mn-ea"/>
              <a:cs typeface="+mn-cs"/>
            </a:rPr>
            <a:t>💲</a:t>
          </a:r>
          <a:r>
            <a:rPr lang="pt-BR" sz="1000">
              <a:solidFill>
                <a:srgbClr val="FEDA75"/>
              </a:solidFill>
              <a:latin typeface="Britannic Bold" panose="020B0903060703020204" pitchFamily="34" charset="0"/>
            </a:rPr>
            <a:t>SYSTEM</a:t>
          </a:r>
          <a:r>
            <a:rPr lang="pt-BR" sz="1000" baseline="0">
              <a:solidFill>
                <a:srgbClr val="FEDA75"/>
              </a:solidFill>
              <a:latin typeface="Britannic Bold" panose="020B0903060703020204" pitchFamily="34" charset="0"/>
            </a:rPr>
            <a:t> BY TKARA</a:t>
          </a:r>
          <a:r>
            <a:rPr lang="pt-BR" sz="7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💲</a:t>
          </a:r>
          <a:endParaRPr lang="pt-BR" sz="1000">
            <a:solidFill>
              <a:srgbClr val="FEDA75"/>
            </a:solidFill>
            <a:latin typeface="Britannic Bold" panose="020B0903060703020204" pitchFamily="34" charset="0"/>
          </a:endParaRPr>
        </a:p>
      </xdr:txBody>
    </xdr:sp>
    <xdr:clientData/>
  </xdr:twoCellAnchor>
  <xdr:twoCellAnchor editAs="absolute">
    <xdr:from>
      <xdr:col>0</xdr:col>
      <xdr:colOff>192461</xdr:colOff>
      <xdr:row>24</xdr:row>
      <xdr:rowOff>76273</xdr:rowOff>
    </xdr:from>
    <xdr:to>
      <xdr:col>0</xdr:col>
      <xdr:colOff>1691696</xdr:colOff>
      <xdr:row>24</xdr:row>
      <xdr:rowOff>76273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C8235CAA-D1DA-4AD8-B91A-3C692FD0A9FC}"/>
            </a:ext>
          </a:extLst>
        </xdr:cNvPr>
        <xdr:cNvCxnSpPr/>
      </xdr:nvCxnSpPr>
      <xdr:spPr>
        <a:xfrm>
          <a:off x="192461" y="4490158"/>
          <a:ext cx="149161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95544</xdr:colOff>
      <xdr:row>16</xdr:row>
      <xdr:rowOff>168471</xdr:rowOff>
    </xdr:from>
    <xdr:to>
      <xdr:col>0</xdr:col>
      <xdr:colOff>1779088</xdr:colOff>
      <xdr:row>18</xdr:row>
      <xdr:rowOff>167839</xdr:rowOff>
    </xdr:to>
    <xdr:sp macro="" textlink="">
      <xdr:nvSpPr>
        <xdr:cNvPr id="7" name="Retângulo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99503B9-F9C3-44F9-BBA1-57B9AC95710C}"/>
            </a:ext>
          </a:extLst>
        </xdr:cNvPr>
        <xdr:cNvSpPr/>
      </xdr:nvSpPr>
      <xdr:spPr>
        <a:xfrm>
          <a:off x="91734" y="3130746"/>
          <a:ext cx="1693069" cy="36131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Britannic Bold" panose="020B090306070302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97449</xdr:colOff>
      <xdr:row>19</xdr:row>
      <xdr:rowOff>73212</xdr:rowOff>
    </xdr:from>
    <xdr:to>
      <xdr:col>0</xdr:col>
      <xdr:colOff>1775278</xdr:colOff>
      <xdr:row>21</xdr:row>
      <xdr:rowOff>74486</xdr:rowOff>
    </xdr:to>
    <xdr:sp macro="" textlink="">
      <xdr:nvSpPr>
        <xdr:cNvPr id="8" name="Retângulo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7C23501-728C-4FEE-8D86-70F28E93DA87}"/>
            </a:ext>
          </a:extLst>
        </xdr:cNvPr>
        <xdr:cNvSpPr/>
      </xdr:nvSpPr>
      <xdr:spPr>
        <a:xfrm>
          <a:off x="93639" y="3582222"/>
          <a:ext cx="1689259" cy="36322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Britannic Bold" panose="020B090306070302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628706</xdr:colOff>
      <xdr:row>28</xdr:row>
      <xdr:rowOff>3224</xdr:rowOff>
    </xdr:from>
    <xdr:to>
      <xdr:col>0</xdr:col>
      <xdr:colOff>1238306</xdr:colOff>
      <xdr:row>31</xdr:row>
      <xdr:rowOff>58559</xdr:rowOff>
    </xdr:to>
    <xdr:pic>
      <xdr:nvPicPr>
        <xdr:cNvPr id="9" name="Imagem 8" descr="Linkedin Logo White PNGs for Free Download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364A198-723C-4C44-88BF-665F06E3D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516" y="5181014"/>
          <a:ext cx="609600" cy="6020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259080</xdr:colOff>
      <xdr:row>7</xdr:row>
      <xdr:rowOff>182880</xdr:rowOff>
    </xdr:from>
    <xdr:to>
      <xdr:col>10</xdr:col>
      <xdr:colOff>114300</xdr:colOff>
      <xdr:row>26</xdr:row>
      <xdr:rowOff>3060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7E511B5E-F2CD-45E1-8E89-51166C3116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absolute">
    <xdr:from>
      <xdr:col>0</xdr:col>
      <xdr:colOff>78399</xdr:colOff>
      <xdr:row>21</xdr:row>
      <xdr:rowOff>168454</xdr:rowOff>
    </xdr:from>
    <xdr:to>
      <xdr:col>0</xdr:col>
      <xdr:colOff>1803853</xdr:colOff>
      <xdr:row>23</xdr:row>
      <xdr:rowOff>170900</xdr:rowOff>
    </xdr:to>
    <xdr:sp macro="" textlink="">
      <xdr:nvSpPr>
        <xdr:cNvPr id="14" name="Retângulo 1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BE8730B-023C-4CF1-91DB-4A84BC7FA628}"/>
            </a:ext>
          </a:extLst>
        </xdr:cNvPr>
        <xdr:cNvSpPr/>
      </xdr:nvSpPr>
      <xdr:spPr>
        <a:xfrm>
          <a:off x="78399" y="4035604"/>
          <a:ext cx="1719739" cy="364396"/>
        </a:xfrm>
        <a:prstGeom prst="rect">
          <a:avLst/>
        </a:prstGeom>
        <a:gradFill>
          <a:gsLst>
            <a:gs pos="87000">
              <a:srgbClr val="FEBD14">
                <a:alpha val="76000"/>
                <a:lumMod val="57000"/>
              </a:srgbClr>
            </a:gs>
            <a:gs pos="22000">
              <a:srgbClr val="F6D26D"/>
            </a:gs>
          </a:gsLst>
          <a:lin ang="135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Britannic Bold" panose="020B0903060703020204" pitchFamily="34" charset="0"/>
            </a:rPr>
            <a:t>IR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arlo\Downloads\PROJETO1.xlsx" TargetMode="External"/><Relationship Id="rId1" Type="http://schemas.openxmlformats.org/officeDocument/2006/relationships/externalLinkPath" Target="/Users/carlo/Downloads/PROJETO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TULAR"/>
      <sheetName val="INFORMES"/>
      <sheetName val="NOTAS"/>
      <sheetName val="NOTAS (2)"/>
      <sheetName val="Planilha5"/>
      <sheetName val="DEDUÇÕES"/>
    </sheetNames>
    <sheetDataSet>
      <sheetData sheetId="0"/>
      <sheetData sheetId="1"/>
      <sheetData sheetId="2"/>
      <sheetData sheetId="3">
        <row r="13">
          <cell r="D13" t="str">
            <v>TOTAL ENTRADAS (R$)</v>
          </cell>
          <cell r="E13" t="str">
            <v>LIMITE MENSAL (R$)</v>
          </cell>
        </row>
        <row r="14">
          <cell r="C14">
            <v>46023</v>
          </cell>
          <cell r="D14">
            <v>0</v>
          </cell>
          <cell r="E14">
            <v>5000</v>
          </cell>
        </row>
        <row r="15">
          <cell r="C15">
            <v>46054</v>
          </cell>
          <cell r="D15">
            <v>0</v>
          </cell>
          <cell r="E15">
            <v>5000</v>
          </cell>
        </row>
        <row r="16">
          <cell r="C16">
            <v>46082</v>
          </cell>
          <cell r="D16">
            <v>0</v>
          </cell>
          <cell r="E16">
            <v>5000</v>
          </cell>
        </row>
        <row r="17">
          <cell r="C17">
            <v>46113</v>
          </cell>
          <cell r="D17">
            <v>0</v>
          </cell>
          <cell r="E17">
            <v>5000</v>
          </cell>
        </row>
        <row r="18">
          <cell r="C18">
            <v>46143</v>
          </cell>
          <cell r="D18">
            <v>0</v>
          </cell>
          <cell r="E18">
            <v>5000</v>
          </cell>
        </row>
        <row r="19">
          <cell r="C19">
            <v>46174</v>
          </cell>
          <cell r="D19">
            <v>0</v>
          </cell>
          <cell r="E19">
            <v>5000</v>
          </cell>
        </row>
        <row r="20">
          <cell r="C20">
            <v>46204</v>
          </cell>
          <cell r="D20">
            <v>0</v>
          </cell>
          <cell r="E20">
            <v>5000</v>
          </cell>
        </row>
        <row r="21">
          <cell r="C21">
            <v>46235</v>
          </cell>
          <cell r="D21">
            <v>0</v>
          </cell>
          <cell r="E21">
            <v>5000</v>
          </cell>
        </row>
        <row r="22">
          <cell r="C22">
            <v>46266</v>
          </cell>
          <cell r="D22">
            <v>3000</v>
          </cell>
          <cell r="E22">
            <v>5000</v>
          </cell>
        </row>
        <row r="23">
          <cell r="C23">
            <v>46296</v>
          </cell>
          <cell r="D23">
            <v>0</v>
          </cell>
          <cell r="E23">
            <v>5000</v>
          </cell>
        </row>
        <row r="24">
          <cell r="C24">
            <v>46327</v>
          </cell>
          <cell r="D24">
            <v>0</v>
          </cell>
          <cell r="E24">
            <v>5000</v>
          </cell>
        </row>
        <row r="25">
          <cell r="C25">
            <v>46357</v>
          </cell>
          <cell r="D25">
            <v>0</v>
          </cell>
          <cell r="E25">
            <v>5000</v>
          </cell>
        </row>
      </sheetData>
      <sheetData sheetId="4"/>
      <sheetData sheetId="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414848-A297-4177-955A-A3E82CCC58C9}" name="Tabela2" displayName="Tabela2" ref="C9:E31" totalsRowCount="1" headerRowDxfId="18" dataDxfId="16" totalsRowDxfId="14" headerRowBorderDxfId="17" tableBorderDxfId="15" totalsRowBorderDxfId="13">
  <autoFilter ref="C9:E30" xr:uid="{10414848-A297-4177-955A-A3E82CCC58C9}"/>
  <tableColumns count="3">
    <tableColumn id="1" xr3:uid="{36B5D899-F12C-45F5-9524-4411E6B77CF7}" name="DATA" totalsRowLabel="Total" dataDxfId="12" totalsRowDxfId="11"/>
    <tableColumn id="2" xr3:uid="{957D8404-6E59-4FE4-A34E-ED2841636E1C}" name="CATEGORIA" dataDxfId="10" totalsRowDxfId="9"/>
    <tableColumn id="3" xr3:uid="{70FBE6AE-5DD2-484A-85CB-CFF3AF70F306}" name="VALOR" totalsRowFunction="sum" dataDxfId="8" totalsRowDxfId="7"/>
  </tableColumns>
  <tableStyleInfo name="Estilo de Tabela 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carlos.danitc@gmail.com?subject=Declara&#231;&#227;o%20de%20Rend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662E3-71E7-498F-BE27-76614BB0EF84}">
  <dimension ref="A1:E70"/>
  <sheetViews>
    <sheetView showGridLines="0" zoomScaleNormal="100" workbookViewId="0">
      <selection activeCell="D22" sqref="D22:D23"/>
    </sheetView>
  </sheetViews>
  <sheetFormatPr defaultRowHeight="14.4" x14ac:dyDescent="0.3"/>
  <cols>
    <col min="1" max="1" width="27" customWidth="1"/>
    <col min="3" max="3" width="41.33203125" customWidth="1"/>
    <col min="4" max="4" width="41.5546875" customWidth="1"/>
  </cols>
  <sheetData>
    <row r="1" spans="1:5" x14ac:dyDescent="0.3">
      <c r="A1" s="1"/>
    </row>
    <row r="2" spans="1:5" x14ac:dyDescent="0.3">
      <c r="A2" s="1"/>
    </row>
    <row r="3" spans="1:5" ht="20.399999999999999" thickBot="1" x14ac:dyDescent="0.45">
      <c r="A3" s="1"/>
      <c r="C3" s="8" t="s">
        <v>14</v>
      </c>
      <c r="D3" s="3"/>
    </row>
    <row r="4" spans="1:5" ht="15" thickTop="1" x14ac:dyDescent="0.3">
      <c r="A4" s="1"/>
      <c r="C4" s="69" t="s">
        <v>15</v>
      </c>
      <c r="D4" s="69"/>
      <c r="E4" s="4"/>
    </row>
    <row r="5" spans="1:5" x14ac:dyDescent="0.3">
      <c r="A5" s="1"/>
    </row>
    <row r="6" spans="1:5" ht="15" thickBot="1" x14ac:dyDescent="0.35">
      <c r="A6" s="1"/>
    </row>
    <row r="7" spans="1:5" ht="15.6" thickTop="1" thickBot="1" x14ac:dyDescent="0.35">
      <c r="A7" s="1"/>
      <c r="C7" s="9" t="s">
        <v>0</v>
      </c>
      <c r="D7" s="12" t="s">
        <v>16</v>
      </c>
    </row>
    <row r="8" spans="1:5" ht="15.6" thickTop="1" thickBot="1" x14ac:dyDescent="0.35">
      <c r="A8" s="1"/>
      <c r="C8" s="9" t="s">
        <v>1</v>
      </c>
      <c r="D8" s="13">
        <v>46941160888</v>
      </c>
    </row>
    <row r="9" spans="1:5" ht="15.6" thickTop="1" thickBot="1" x14ac:dyDescent="0.35">
      <c r="A9" s="1"/>
      <c r="C9" s="9" t="s">
        <v>2</v>
      </c>
      <c r="D9" s="14">
        <v>36363</v>
      </c>
    </row>
    <row r="10" spans="1:5" ht="15.6" thickTop="1" thickBot="1" x14ac:dyDescent="0.35">
      <c r="A10" s="1"/>
      <c r="C10" s="9" t="s">
        <v>3</v>
      </c>
      <c r="D10" s="12">
        <v>689108</v>
      </c>
    </row>
    <row r="11" spans="1:5" ht="15.6" thickTop="1" thickBot="1" x14ac:dyDescent="0.35">
      <c r="A11" s="1"/>
      <c r="C11" s="9" t="s">
        <v>4</v>
      </c>
      <c r="D11" s="12" t="s">
        <v>17</v>
      </c>
    </row>
    <row r="12" spans="1:5" ht="15.6" thickTop="1" thickBot="1" x14ac:dyDescent="0.35">
      <c r="A12" s="1"/>
      <c r="C12" s="9" t="s">
        <v>5</v>
      </c>
      <c r="D12" s="12" t="s">
        <v>73</v>
      </c>
    </row>
    <row r="13" spans="1:5" ht="15.6" thickTop="1" thickBot="1" x14ac:dyDescent="0.35">
      <c r="A13" s="1"/>
      <c r="C13" s="9" t="s">
        <v>6</v>
      </c>
      <c r="D13" s="12" t="s">
        <v>18</v>
      </c>
    </row>
    <row r="14" spans="1:5" ht="15.6" thickTop="1" thickBot="1" x14ac:dyDescent="0.35">
      <c r="A14" s="1"/>
      <c r="C14" s="9" t="s">
        <v>7</v>
      </c>
      <c r="D14" s="15">
        <v>2532000</v>
      </c>
    </row>
    <row r="15" spans="1:5" ht="15.6" thickTop="1" thickBot="1" x14ac:dyDescent="0.35">
      <c r="A15" s="1"/>
      <c r="C15" s="9" t="s">
        <v>8</v>
      </c>
      <c r="D15" s="16">
        <v>11930034907</v>
      </c>
    </row>
    <row r="16" spans="1:5" ht="15.6" thickTop="1" thickBot="1" x14ac:dyDescent="0.35">
      <c r="A16" s="1"/>
      <c r="C16" s="9" t="s">
        <v>9</v>
      </c>
      <c r="D16" s="16">
        <v>11930034907</v>
      </c>
    </row>
    <row r="17" spans="1:4" ht="15.6" thickTop="1" thickBot="1" x14ac:dyDescent="0.35">
      <c r="A17" s="1"/>
      <c r="C17" s="9" t="s">
        <v>10</v>
      </c>
      <c r="D17" s="17" t="s">
        <v>19</v>
      </c>
    </row>
    <row r="18" spans="1:4" ht="15.6" thickTop="1" thickBot="1" x14ac:dyDescent="0.35">
      <c r="A18" s="1"/>
      <c r="C18" s="9" t="s">
        <v>11</v>
      </c>
      <c r="D18" s="12" t="s">
        <v>21</v>
      </c>
    </row>
    <row r="19" spans="1:4" ht="15.6" thickTop="1" thickBot="1" x14ac:dyDescent="0.35">
      <c r="A19" s="1"/>
      <c r="C19" s="9" t="s">
        <v>12</v>
      </c>
      <c r="D19" s="12" t="s">
        <v>20</v>
      </c>
    </row>
    <row r="20" spans="1:4" ht="15.6" thickTop="1" thickBot="1" x14ac:dyDescent="0.35">
      <c r="A20" s="1"/>
      <c r="C20" s="9" t="s">
        <v>13</v>
      </c>
      <c r="D20" s="12" t="s">
        <v>20</v>
      </c>
    </row>
    <row r="21" spans="1:4" ht="15" thickTop="1" x14ac:dyDescent="0.3">
      <c r="A21" s="1"/>
    </row>
    <row r="22" spans="1:4" x14ac:dyDescent="0.3">
      <c r="A22" s="1"/>
      <c r="D22" s="70" t="s">
        <v>66</v>
      </c>
    </row>
    <row r="23" spans="1:4" x14ac:dyDescent="0.3">
      <c r="A23" s="1"/>
      <c r="D23" s="70"/>
    </row>
    <row r="24" spans="1:4" x14ac:dyDescent="0.3">
      <c r="A24" s="1"/>
    </row>
    <row r="25" spans="1:4" x14ac:dyDescent="0.3">
      <c r="A25" s="1"/>
    </row>
    <row r="26" spans="1:4" x14ac:dyDescent="0.3">
      <c r="A26" s="1"/>
    </row>
    <row r="27" spans="1:4" x14ac:dyDescent="0.3">
      <c r="A27" s="1"/>
    </row>
    <row r="28" spans="1:4" x14ac:dyDescent="0.3">
      <c r="A28" s="1"/>
    </row>
    <row r="29" spans="1:4" x14ac:dyDescent="0.3">
      <c r="A29" s="1"/>
    </row>
    <row r="30" spans="1:4" x14ac:dyDescent="0.3">
      <c r="A30" s="1"/>
    </row>
    <row r="31" spans="1:4" x14ac:dyDescent="0.3">
      <c r="A31" s="1"/>
    </row>
    <row r="32" spans="1:4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1"/>
    </row>
    <row r="52" spans="1:1" x14ac:dyDescent="0.3">
      <c r="A52" s="11"/>
    </row>
    <row r="53" spans="1:1" x14ac:dyDescent="0.3">
      <c r="A53" s="11"/>
    </row>
    <row r="54" spans="1:1" x14ac:dyDescent="0.3">
      <c r="A54" s="11"/>
    </row>
    <row r="55" spans="1:1" x14ac:dyDescent="0.3">
      <c r="A55" s="11"/>
    </row>
    <row r="56" spans="1:1" x14ac:dyDescent="0.3">
      <c r="A56" s="11"/>
    </row>
    <row r="57" spans="1:1" x14ac:dyDescent="0.3">
      <c r="A57" s="11"/>
    </row>
    <row r="58" spans="1:1" x14ac:dyDescent="0.3">
      <c r="A58" s="11"/>
    </row>
    <row r="59" spans="1:1" x14ac:dyDescent="0.3">
      <c r="A59" s="11"/>
    </row>
    <row r="60" spans="1:1" x14ac:dyDescent="0.3">
      <c r="A60" s="11"/>
    </row>
    <row r="61" spans="1:1" x14ac:dyDescent="0.3">
      <c r="A61" s="11"/>
    </row>
    <row r="62" spans="1:1" x14ac:dyDescent="0.3">
      <c r="A62" s="11"/>
    </row>
    <row r="63" spans="1:1" x14ac:dyDescent="0.3">
      <c r="A63" s="11"/>
    </row>
    <row r="64" spans="1:1" x14ac:dyDescent="0.3">
      <c r="A64" s="11"/>
    </row>
    <row r="65" spans="1:1" x14ac:dyDescent="0.3">
      <c r="A65" s="11"/>
    </row>
    <row r="66" spans="1:1" x14ac:dyDescent="0.3">
      <c r="A66" s="11"/>
    </row>
    <row r="67" spans="1:1" x14ac:dyDescent="0.3">
      <c r="A67" s="11"/>
    </row>
    <row r="68" spans="1:1" x14ac:dyDescent="0.3">
      <c r="A68" s="11"/>
    </row>
    <row r="69" spans="1:1" x14ac:dyDescent="0.3">
      <c r="A69" s="11"/>
    </row>
    <row r="70" spans="1:1" x14ac:dyDescent="0.3">
      <c r="A70" s="11"/>
    </row>
  </sheetData>
  <sheetProtection sheet="1" selectLockedCells="1"/>
  <mergeCells count="2">
    <mergeCell ref="C4:D4"/>
    <mergeCell ref="D22:D23"/>
  </mergeCells>
  <hyperlinks>
    <hyperlink ref="D17" r:id="rId1" xr:uid="{C539D762-9082-4990-899C-9AA61752CB92}"/>
    <hyperlink ref="D22:D23" location="INFORMES!C1" display="PRÓXIMO -&gt;" xr:uid="{7EA88A01-902A-4C89-849F-EDC2684EAF2F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5F73D-F754-4D0E-88AC-9C38BB360939}">
  <sheetPr codeName="Planilha2"/>
  <dimension ref="A1:G70"/>
  <sheetViews>
    <sheetView showGridLines="0" showRowColHeaders="0" zoomScaleNormal="100" workbookViewId="0">
      <selection activeCell="D10" sqref="D10"/>
    </sheetView>
  </sheetViews>
  <sheetFormatPr defaultRowHeight="14.4" x14ac:dyDescent="0.3"/>
  <cols>
    <col min="1" max="1" width="27" customWidth="1"/>
    <col min="3" max="3" width="41.33203125" customWidth="1"/>
    <col min="4" max="4" width="41.5546875" customWidth="1"/>
  </cols>
  <sheetData>
    <row r="1" spans="1:5" x14ac:dyDescent="0.3">
      <c r="A1" s="1"/>
    </row>
    <row r="2" spans="1:5" x14ac:dyDescent="0.3">
      <c r="A2" s="1"/>
    </row>
    <row r="3" spans="1:5" ht="20.399999999999999" thickBot="1" x14ac:dyDescent="0.45">
      <c r="A3" s="1"/>
      <c r="C3" s="8" t="s">
        <v>102</v>
      </c>
      <c r="D3" s="3"/>
    </row>
    <row r="4" spans="1:5" ht="15" thickTop="1" x14ac:dyDescent="0.3">
      <c r="A4" s="1"/>
      <c r="C4" s="71" t="s">
        <v>22</v>
      </c>
      <c r="D4" s="71"/>
      <c r="E4" s="4"/>
    </row>
    <row r="5" spans="1:5" x14ac:dyDescent="0.3">
      <c r="A5" s="1"/>
    </row>
    <row r="6" spans="1:5" x14ac:dyDescent="0.3">
      <c r="A6" s="1"/>
      <c r="C6" t="s">
        <v>64</v>
      </c>
    </row>
    <row r="7" spans="1:5" x14ac:dyDescent="0.3">
      <c r="A7" s="1"/>
      <c r="C7" s="73">
        <f>SUM(D11,D16,D21)</f>
        <v>6000000</v>
      </c>
      <c r="D7" s="73"/>
    </row>
    <row r="8" spans="1:5" x14ac:dyDescent="0.3">
      <c r="A8" s="1"/>
    </row>
    <row r="9" spans="1:5" x14ac:dyDescent="0.3">
      <c r="A9" s="1"/>
      <c r="C9" s="7" t="s">
        <v>61</v>
      </c>
    </row>
    <row r="10" spans="1:5" ht="15" thickBot="1" x14ac:dyDescent="0.35">
      <c r="A10" s="1"/>
      <c r="C10" s="2" t="s">
        <v>23</v>
      </c>
      <c r="D10" s="60" t="s">
        <v>75</v>
      </c>
    </row>
    <row r="11" spans="1:5" ht="15.6" thickTop="1" thickBot="1" x14ac:dyDescent="0.35">
      <c r="A11" s="1"/>
      <c r="C11" s="5" t="s">
        <v>24</v>
      </c>
      <c r="D11" s="19">
        <v>2000000</v>
      </c>
    </row>
    <row r="12" spans="1:5" ht="15.6" thickTop="1" thickBot="1" x14ac:dyDescent="0.35">
      <c r="A12" s="1"/>
      <c r="C12" s="5" t="s">
        <v>74</v>
      </c>
      <c r="D12" s="20" t="s">
        <v>77</v>
      </c>
    </row>
    <row r="13" spans="1:5" ht="15" thickTop="1" x14ac:dyDescent="0.3">
      <c r="A13" s="1"/>
    </row>
    <row r="14" spans="1:5" x14ac:dyDescent="0.3">
      <c r="A14" s="1"/>
      <c r="C14" s="7" t="s">
        <v>63</v>
      </c>
    </row>
    <row r="15" spans="1:5" ht="15" thickBot="1" x14ac:dyDescent="0.35">
      <c r="A15" s="1"/>
      <c r="C15" s="2" t="s">
        <v>23</v>
      </c>
      <c r="D15" s="60" t="s">
        <v>60</v>
      </c>
    </row>
    <row r="16" spans="1:5" ht="15.6" thickTop="1" thickBot="1" x14ac:dyDescent="0.35">
      <c r="A16" s="1"/>
      <c r="C16" s="5" t="s">
        <v>24</v>
      </c>
      <c r="D16" s="19">
        <v>2000000</v>
      </c>
    </row>
    <row r="17" spans="1:7" ht="15.6" thickTop="1" thickBot="1" x14ac:dyDescent="0.35">
      <c r="A17" s="1"/>
      <c r="C17" s="5" t="s">
        <v>74</v>
      </c>
      <c r="D17" s="20" t="s">
        <v>78</v>
      </c>
    </row>
    <row r="18" spans="1:7" ht="15" thickTop="1" x14ac:dyDescent="0.3">
      <c r="A18" s="1"/>
      <c r="D18" s="18"/>
      <c r="G18" s="18"/>
    </row>
    <row r="19" spans="1:7" x14ac:dyDescent="0.3">
      <c r="A19" s="1"/>
      <c r="C19" s="7" t="s">
        <v>62</v>
      </c>
    </row>
    <row r="20" spans="1:7" ht="15" thickBot="1" x14ac:dyDescent="0.35">
      <c r="A20" s="1"/>
      <c r="C20" s="2" t="s">
        <v>23</v>
      </c>
      <c r="D20" s="60" t="s">
        <v>76</v>
      </c>
    </row>
    <row r="21" spans="1:7" ht="15.6" thickTop="1" thickBot="1" x14ac:dyDescent="0.35">
      <c r="A21" s="1"/>
      <c r="C21" s="5" t="s">
        <v>24</v>
      </c>
      <c r="D21" s="19">
        <v>2000000</v>
      </c>
    </row>
    <row r="22" spans="1:7" ht="15.6" thickTop="1" thickBot="1" x14ac:dyDescent="0.35">
      <c r="A22" s="1"/>
      <c r="C22" s="5" t="s">
        <v>74</v>
      </c>
      <c r="D22" s="20" t="s">
        <v>79</v>
      </c>
    </row>
    <row r="23" spans="1:7" ht="15" thickTop="1" x14ac:dyDescent="0.3">
      <c r="A23" s="1"/>
    </row>
    <row r="24" spans="1:7" x14ac:dyDescent="0.3">
      <c r="A24" s="1"/>
      <c r="C24" s="72" t="s">
        <v>65</v>
      </c>
      <c r="D24" s="72" t="s">
        <v>66</v>
      </c>
    </row>
    <row r="25" spans="1:7" x14ac:dyDescent="0.3">
      <c r="A25" s="1"/>
      <c r="C25" s="72"/>
      <c r="D25" s="72"/>
    </row>
    <row r="26" spans="1:7" x14ac:dyDescent="0.3">
      <c r="A26" s="1"/>
    </row>
    <row r="27" spans="1:7" x14ac:dyDescent="0.3">
      <c r="A27" s="1"/>
    </row>
    <row r="28" spans="1:7" x14ac:dyDescent="0.3">
      <c r="A28" s="1"/>
    </row>
    <row r="29" spans="1:7" x14ac:dyDescent="0.3">
      <c r="A29" s="1"/>
    </row>
    <row r="30" spans="1:7" x14ac:dyDescent="0.3">
      <c r="A30" s="1"/>
    </row>
    <row r="31" spans="1:7" x14ac:dyDescent="0.3">
      <c r="A31" s="1"/>
    </row>
    <row r="32" spans="1:7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1"/>
    </row>
    <row r="56" spans="1:1" x14ac:dyDescent="0.3">
      <c r="A56" s="11"/>
    </row>
    <row r="57" spans="1:1" x14ac:dyDescent="0.3">
      <c r="A57" s="11"/>
    </row>
    <row r="58" spans="1:1" x14ac:dyDescent="0.3">
      <c r="A58" s="11"/>
    </row>
    <row r="59" spans="1:1" x14ac:dyDescent="0.3">
      <c r="A59" s="11"/>
    </row>
    <row r="60" spans="1:1" x14ac:dyDescent="0.3">
      <c r="A60" s="11"/>
    </row>
    <row r="61" spans="1:1" x14ac:dyDescent="0.3">
      <c r="A61" s="11"/>
    </row>
    <row r="62" spans="1:1" x14ac:dyDescent="0.3">
      <c r="A62" s="11"/>
    </row>
    <row r="63" spans="1:1" x14ac:dyDescent="0.3">
      <c r="A63" s="11"/>
    </row>
    <row r="64" spans="1:1" x14ac:dyDescent="0.3">
      <c r="A64" s="11"/>
    </row>
    <row r="65" spans="1:1" x14ac:dyDescent="0.3">
      <c r="A65" s="11"/>
    </row>
    <row r="66" spans="1:1" x14ac:dyDescent="0.3">
      <c r="A66" s="11"/>
    </row>
    <row r="67" spans="1:1" x14ac:dyDescent="0.3">
      <c r="A67" s="11"/>
    </row>
    <row r="68" spans="1:1" x14ac:dyDescent="0.3">
      <c r="A68" s="11"/>
    </row>
    <row r="69" spans="1:1" x14ac:dyDescent="0.3">
      <c r="A69" s="11"/>
    </row>
    <row r="70" spans="1:1" x14ac:dyDescent="0.3">
      <c r="A70" s="11"/>
    </row>
  </sheetData>
  <sheetProtection sheet="1" selectLockedCells="1"/>
  <dataConsolidate/>
  <mergeCells count="4">
    <mergeCell ref="C4:D4"/>
    <mergeCell ref="D24:D25"/>
    <mergeCell ref="C7:D7"/>
    <mergeCell ref="C24:C25"/>
  </mergeCells>
  <hyperlinks>
    <hyperlink ref="D24:D25" location="NOTAS!C1" display="PRÓXIMO" xr:uid="{28F4FEFF-9B10-4070-A9E6-B662A6EE7CB6}"/>
    <hyperlink ref="C24:C25" location="TITULAR!C1" display="PRÓXIMO" xr:uid="{86653DB6-59E7-4501-A488-EFD883542C37}"/>
  </hyperlink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F43AE0E-5A84-4A1D-AB3A-8B13CD731A05}">
          <x14:formula1>
            <xm:f>Planilha5!$A:$A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A21E0-D72B-4CDE-B41C-294B860523DB}">
  <dimension ref="A1:J56"/>
  <sheetViews>
    <sheetView showGridLines="0" zoomScaleNormal="100" workbookViewId="0">
      <selection activeCell="C6" activeCellId="2" sqref="C9:E30 D31 C6:E6"/>
    </sheetView>
  </sheetViews>
  <sheetFormatPr defaultRowHeight="14.4" x14ac:dyDescent="0.3"/>
  <cols>
    <col min="1" max="1" width="27" customWidth="1"/>
    <col min="3" max="3" width="26.6640625" bestFit="1" customWidth="1"/>
    <col min="4" max="4" width="24.44140625" customWidth="1"/>
    <col min="5" max="5" width="16.21875" customWidth="1"/>
    <col min="8" max="8" width="14" bestFit="1" customWidth="1"/>
    <col min="9" max="9" width="13.109375" bestFit="1" customWidth="1"/>
    <col min="10" max="10" width="15.5546875" bestFit="1" customWidth="1"/>
  </cols>
  <sheetData>
    <row r="1" spans="1:10" x14ac:dyDescent="0.3">
      <c r="A1" s="1"/>
    </row>
    <row r="2" spans="1:10" x14ac:dyDescent="0.3">
      <c r="A2" s="1"/>
    </row>
    <row r="3" spans="1:10" ht="20.399999999999999" thickBot="1" x14ac:dyDescent="0.45">
      <c r="A3" s="1"/>
      <c r="C3" s="10" t="s">
        <v>103</v>
      </c>
      <c r="D3" s="3"/>
    </row>
    <row r="4" spans="1:10" ht="15" thickTop="1" x14ac:dyDescent="0.3">
      <c r="A4" s="1"/>
      <c r="C4" s="77" t="s">
        <v>67</v>
      </c>
      <c r="D4" s="77"/>
      <c r="E4" s="77"/>
    </row>
    <row r="5" spans="1:10" x14ac:dyDescent="0.3">
      <c r="A5" s="1"/>
    </row>
    <row r="6" spans="1:10" x14ac:dyDescent="0.3">
      <c r="A6" s="1"/>
      <c r="C6" s="33" t="s">
        <v>65</v>
      </c>
      <c r="D6" s="78" t="s">
        <v>66</v>
      </c>
      <c r="E6" s="78"/>
    </row>
    <row r="7" spans="1:10" x14ac:dyDescent="0.3">
      <c r="A7" s="1"/>
    </row>
    <row r="8" spans="1:10" x14ac:dyDescent="0.3">
      <c r="A8" s="1"/>
      <c r="C8" s="74" t="s">
        <v>71</v>
      </c>
      <c r="D8" s="75"/>
      <c r="E8" s="76"/>
      <c r="J8" s="21"/>
    </row>
    <row r="9" spans="1:10" x14ac:dyDescent="0.3">
      <c r="A9" s="1"/>
      <c r="C9" s="34" t="s">
        <v>68</v>
      </c>
      <c r="D9" s="35" t="s">
        <v>69</v>
      </c>
      <c r="E9" s="36" t="s">
        <v>70</v>
      </c>
      <c r="J9" s="23"/>
    </row>
    <row r="10" spans="1:10" x14ac:dyDescent="0.3">
      <c r="A10" s="1"/>
      <c r="C10" s="37">
        <v>46272</v>
      </c>
      <c r="D10" s="38" t="s">
        <v>72</v>
      </c>
      <c r="E10" s="39">
        <v>3000</v>
      </c>
      <c r="I10" s="21"/>
      <c r="J10" s="21"/>
    </row>
    <row r="11" spans="1:10" x14ac:dyDescent="0.3">
      <c r="A11" s="1"/>
      <c r="C11" s="40"/>
      <c r="D11" s="41" t="s">
        <v>80</v>
      </c>
      <c r="E11" s="42"/>
      <c r="I11" s="21"/>
      <c r="J11" s="21"/>
    </row>
    <row r="12" spans="1:10" x14ac:dyDescent="0.3">
      <c r="A12" s="1"/>
      <c r="C12" s="40"/>
      <c r="D12" s="41" t="s">
        <v>81</v>
      </c>
      <c r="E12" s="42"/>
      <c r="I12" s="21"/>
      <c r="J12" s="21"/>
    </row>
    <row r="13" spans="1:10" x14ac:dyDescent="0.3">
      <c r="A13" s="1"/>
      <c r="C13" s="40"/>
      <c r="D13" s="41"/>
      <c r="E13" s="42"/>
    </row>
    <row r="14" spans="1:10" x14ac:dyDescent="0.3">
      <c r="A14" s="1"/>
      <c r="C14" s="40"/>
      <c r="D14" s="41"/>
      <c r="E14" s="42"/>
    </row>
    <row r="15" spans="1:10" x14ac:dyDescent="0.3">
      <c r="A15" s="1"/>
      <c r="C15" s="40"/>
      <c r="D15" s="41"/>
      <c r="E15" s="42"/>
    </row>
    <row r="16" spans="1:10" x14ac:dyDescent="0.3">
      <c r="A16" s="1"/>
      <c r="C16" s="40"/>
      <c r="D16" s="41"/>
      <c r="E16" s="42"/>
    </row>
    <row r="17" spans="1:9" x14ac:dyDescent="0.3">
      <c r="A17" s="1"/>
      <c r="C17" s="40"/>
      <c r="D17" s="41"/>
      <c r="E17" s="42"/>
    </row>
    <row r="18" spans="1:9" x14ac:dyDescent="0.3">
      <c r="A18" s="1"/>
      <c r="C18" s="40"/>
      <c r="D18" s="41"/>
      <c r="E18" s="42"/>
    </row>
    <row r="19" spans="1:9" x14ac:dyDescent="0.3">
      <c r="A19" s="1"/>
      <c r="C19" s="40"/>
      <c r="D19" s="41"/>
      <c r="E19" s="42"/>
    </row>
    <row r="20" spans="1:9" x14ac:dyDescent="0.3">
      <c r="A20" s="1"/>
      <c r="C20" s="40"/>
      <c r="D20" s="41"/>
      <c r="E20" s="42"/>
    </row>
    <row r="21" spans="1:9" x14ac:dyDescent="0.3">
      <c r="A21" s="1"/>
      <c r="C21" s="40"/>
      <c r="D21" s="41"/>
      <c r="E21" s="42"/>
    </row>
    <row r="22" spans="1:9" x14ac:dyDescent="0.3">
      <c r="A22" s="1"/>
      <c r="C22" s="40"/>
      <c r="D22" s="41"/>
      <c r="E22" s="42"/>
      <c r="I22" s="22"/>
    </row>
    <row r="23" spans="1:9" x14ac:dyDescent="0.3">
      <c r="A23" s="1"/>
      <c r="C23" s="40"/>
      <c r="D23" s="41"/>
      <c r="E23" s="42"/>
    </row>
    <row r="24" spans="1:9" x14ac:dyDescent="0.3">
      <c r="A24" s="1"/>
      <c r="C24" s="40"/>
      <c r="D24" s="41"/>
      <c r="E24" s="42"/>
    </row>
    <row r="25" spans="1:9" x14ac:dyDescent="0.3">
      <c r="A25" s="1"/>
      <c r="C25" s="40"/>
      <c r="D25" s="41"/>
      <c r="E25" s="42"/>
    </row>
    <row r="26" spans="1:9" x14ac:dyDescent="0.3">
      <c r="A26" s="1"/>
      <c r="C26" s="40"/>
      <c r="D26" s="41"/>
      <c r="E26" s="42"/>
    </row>
    <row r="27" spans="1:9" x14ac:dyDescent="0.3">
      <c r="A27" s="1"/>
      <c r="C27" s="40"/>
      <c r="D27" s="41"/>
      <c r="E27" s="42"/>
    </row>
    <row r="28" spans="1:9" x14ac:dyDescent="0.3">
      <c r="A28" s="1"/>
      <c r="C28" s="40"/>
      <c r="D28" s="41"/>
      <c r="E28" s="42"/>
    </row>
    <row r="29" spans="1:9" x14ac:dyDescent="0.3">
      <c r="A29" s="1"/>
      <c r="C29" s="40"/>
      <c r="D29" s="41"/>
      <c r="E29" s="42"/>
    </row>
    <row r="30" spans="1:9" x14ac:dyDescent="0.3">
      <c r="A30" s="1"/>
      <c r="C30" s="40"/>
      <c r="D30" s="41"/>
      <c r="E30" s="42"/>
    </row>
    <row r="31" spans="1:9" x14ac:dyDescent="0.3">
      <c r="A31" s="1"/>
      <c r="C31" s="43" t="s">
        <v>82</v>
      </c>
      <c r="D31" s="44"/>
      <c r="E31" s="45">
        <f>SUBTOTAL(109,Tabela2[VALOR])</f>
        <v>3000</v>
      </c>
    </row>
    <row r="32" spans="1:9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</sheetData>
  <sheetProtection sheet="1" selectLockedCells="1"/>
  <mergeCells count="3">
    <mergeCell ref="C8:E8"/>
    <mergeCell ref="C4:E4"/>
    <mergeCell ref="D6:E6"/>
  </mergeCells>
  <dataValidations disablePrompts="1" count="1">
    <dataValidation type="list" allowBlank="1" showInputMessage="1" showErrorMessage="1" sqref="D10:D30" xr:uid="{05425805-291D-4E58-862D-3C1777B419FA}">
      <formula1>"HOLERITE,CNPJ,FREELANCE"</formula1>
    </dataValidation>
  </dataValidations>
  <hyperlinks>
    <hyperlink ref="C6" location="INFORMES!C1" display="&lt;- ANTERIOR" xr:uid="{EBAB60B0-DBB7-4618-99F4-C9856F26B7B5}"/>
    <hyperlink ref="D6:E6" location="IR!A1" display="PRÓXIMO -&gt;" xr:uid="{CE40212C-3819-4E9E-9A04-160DBCAD77F2}"/>
  </hyperlink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159B7-863F-4C91-83B4-A52EA6A0C4D4}">
  <dimension ref="A1:O56"/>
  <sheetViews>
    <sheetView showGridLines="0" showRowColHeaders="0" tabSelected="1" zoomScaleNormal="100" workbookViewId="0">
      <selection activeCell="D37" sqref="D37"/>
    </sheetView>
  </sheetViews>
  <sheetFormatPr defaultRowHeight="14.4" x14ac:dyDescent="0.3"/>
  <cols>
    <col min="1" max="1" width="27" customWidth="1"/>
    <col min="3" max="3" width="26.6640625" bestFit="1" customWidth="1"/>
    <col min="4" max="4" width="24.44140625" customWidth="1"/>
    <col min="5" max="5" width="16.21875" customWidth="1"/>
    <col min="6" max="6" width="13.88671875" bestFit="1" customWidth="1"/>
    <col min="7" max="8" width="17.44140625" bestFit="1" customWidth="1"/>
    <col min="9" max="9" width="24.88671875" bestFit="1" customWidth="1"/>
  </cols>
  <sheetData>
    <row r="1" spans="1:6" x14ac:dyDescent="0.3">
      <c r="A1" s="1"/>
    </row>
    <row r="2" spans="1:6" x14ac:dyDescent="0.3">
      <c r="A2" s="1"/>
    </row>
    <row r="3" spans="1:6" ht="18" x14ac:dyDescent="0.35">
      <c r="A3" s="1"/>
      <c r="C3" s="25" t="s">
        <v>104</v>
      </c>
    </row>
    <row r="4" spans="1:6" x14ac:dyDescent="0.3">
      <c r="A4" s="1"/>
      <c r="C4" s="79" t="s">
        <v>83</v>
      </c>
      <c r="D4" s="79"/>
      <c r="E4" s="79"/>
    </row>
    <row r="5" spans="1:6" x14ac:dyDescent="0.3">
      <c r="A5" s="1"/>
    </row>
    <row r="6" spans="1:6" x14ac:dyDescent="0.3">
      <c r="A6" s="1"/>
      <c r="C6" s="26" t="s">
        <v>84</v>
      </c>
      <c r="D6" s="61">
        <v>2026</v>
      </c>
    </row>
    <row r="7" spans="1:6" x14ac:dyDescent="0.3">
      <c r="A7" s="1"/>
      <c r="C7" s="26" t="s">
        <v>85</v>
      </c>
      <c r="D7" s="62">
        <v>5000</v>
      </c>
    </row>
    <row r="8" spans="1:6" ht="15" thickBot="1" x14ac:dyDescent="0.35">
      <c r="A8" s="1"/>
      <c r="C8" s="26" t="s">
        <v>86</v>
      </c>
      <c r="D8" s="63">
        <v>60000</v>
      </c>
    </row>
    <row r="9" spans="1:6" ht="15" thickTop="1" x14ac:dyDescent="0.3">
      <c r="A9" s="1"/>
    </row>
    <row r="10" spans="1:6" x14ac:dyDescent="0.3">
      <c r="A10" s="1"/>
      <c r="C10" s="27" t="s">
        <v>65</v>
      </c>
    </row>
    <row r="11" spans="1:6" x14ac:dyDescent="0.3">
      <c r="A11" s="1"/>
    </row>
    <row r="12" spans="1:6" x14ac:dyDescent="0.3">
      <c r="A12" s="1"/>
      <c r="C12" s="81" t="s">
        <v>87</v>
      </c>
      <c r="D12" s="81"/>
      <c r="E12" s="81"/>
      <c r="F12" s="81"/>
    </row>
    <row r="13" spans="1:6" x14ac:dyDescent="0.3">
      <c r="A13" s="1"/>
      <c r="C13" s="46" t="s">
        <v>88</v>
      </c>
      <c r="D13" s="47" t="s">
        <v>89</v>
      </c>
      <c r="E13" s="47" t="s">
        <v>90</v>
      </c>
      <c r="F13" s="48" t="s">
        <v>106</v>
      </c>
    </row>
    <row r="14" spans="1:6" x14ac:dyDescent="0.3">
      <c r="A14" s="1"/>
      <c r="C14" s="49">
        <f>DATE($D$6,1,1)</f>
        <v>46023</v>
      </c>
      <c r="D14" s="64">
        <v>5000</v>
      </c>
      <c r="E14" s="50">
        <f t="shared" ref="E14:E25" si="0">$D$7</f>
        <v>5000</v>
      </c>
      <c r="F14" s="51">
        <f>SUM(E14-D14)</f>
        <v>0</v>
      </c>
    </row>
    <row r="15" spans="1:6" x14ac:dyDescent="0.3">
      <c r="A15" s="1"/>
      <c r="C15" s="49">
        <f>DATE($D$6,2,1)</f>
        <v>46054</v>
      </c>
      <c r="D15" s="64">
        <v>5000</v>
      </c>
      <c r="E15" s="50">
        <f t="shared" si="0"/>
        <v>5000</v>
      </c>
      <c r="F15" s="51">
        <f t="shared" ref="F15:F25" si="1">SUM(E15-D15)</f>
        <v>0</v>
      </c>
    </row>
    <row r="16" spans="1:6" x14ac:dyDescent="0.3">
      <c r="A16" s="1"/>
      <c r="C16" s="49">
        <f>DATE($D$6,3,1)</f>
        <v>46082</v>
      </c>
      <c r="D16" s="64">
        <v>5000</v>
      </c>
      <c r="E16" s="50">
        <f t="shared" si="0"/>
        <v>5000</v>
      </c>
      <c r="F16" s="51">
        <f t="shared" si="1"/>
        <v>0</v>
      </c>
    </row>
    <row r="17" spans="1:9" x14ac:dyDescent="0.3">
      <c r="A17" s="1"/>
      <c r="C17" s="49">
        <f>DATE($D$6,4,1)</f>
        <v>46113</v>
      </c>
      <c r="D17" s="64">
        <v>5000</v>
      </c>
      <c r="E17" s="50">
        <f t="shared" si="0"/>
        <v>5000</v>
      </c>
      <c r="F17" s="51">
        <f t="shared" si="1"/>
        <v>0</v>
      </c>
    </row>
    <row r="18" spans="1:9" x14ac:dyDescent="0.3">
      <c r="A18" s="1"/>
      <c r="C18" s="49">
        <f>DATE($D$6,5,1)</f>
        <v>46143</v>
      </c>
      <c r="D18" s="64">
        <v>5000</v>
      </c>
      <c r="E18" s="50">
        <f t="shared" si="0"/>
        <v>5000</v>
      </c>
      <c r="F18" s="51">
        <f t="shared" si="1"/>
        <v>0</v>
      </c>
    </row>
    <row r="19" spans="1:9" x14ac:dyDescent="0.3">
      <c r="A19" s="1"/>
      <c r="C19" s="49">
        <f>DATE($D$6,6,1)</f>
        <v>46174</v>
      </c>
      <c r="D19" s="64">
        <v>5000</v>
      </c>
      <c r="E19" s="50">
        <f t="shared" si="0"/>
        <v>5000</v>
      </c>
      <c r="F19" s="51">
        <f t="shared" si="1"/>
        <v>0</v>
      </c>
    </row>
    <row r="20" spans="1:9" x14ac:dyDescent="0.3">
      <c r="A20" s="1"/>
      <c r="C20" s="49">
        <f>DATE($D$6,7,1)</f>
        <v>46204</v>
      </c>
      <c r="D20" s="64">
        <v>5000</v>
      </c>
      <c r="E20" s="50">
        <f t="shared" si="0"/>
        <v>5000</v>
      </c>
      <c r="F20" s="51">
        <f t="shared" si="1"/>
        <v>0</v>
      </c>
    </row>
    <row r="21" spans="1:9" x14ac:dyDescent="0.3">
      <c r="A21" s="1"/>
      <c r="C21" s="49">
        <f>DATE($D$6,8,1)</f>
        <v>46235</v>
      </c>
      <c r="D21" s="64">
        <v>2000</v>
      </c>
      <c r="E21" s="50">
        <f t="shared" si="0"/>
        <v>5000</v>
      </c>
      <c r="F21" s="51">
        <f t="shared" si="1"/>
        <v>3000</v>
      </c>
    </row>
    <row r="22" spans="1:9" x14ac:dyDescent="0.3">
      <c r="A22" s="1"/>
      <c r="C22" s="49">
        <f>DATE($D$6,9,1)</f>
        <v>46266</v>
      </c>
      <c r="D22" s="64">
        <v>5000</v>
      </c>
      <c r="E22" s="50">
        <f t="shared" si="0"/>
        <v>5000</v>
      </c>
      <c r="F22" s="51">
        <f t="shared" si="1"/>
        <v>0</v>
      </c>
    </row>
    <row r="23" spans="1:9" x14ac:dyDescent="0.3">
      <c r="A23" s="1"/>
      <c r="C23" s="49">
        <f>DATE($D$6,10,1)</f>
        <v>46296</v>
      </c>
      <c r="D23" s="64">
        <v>5000</v>
      </c>
      <c r="E23" s="50">
        <f t="shared" si="0"/>
        <v>5000</v>
      </c>
      <c r="F23" s="51">
        <f t="shared" si="1"/>
        <v>0</v>
      </c>
    </row>
    <row r="24" spans="1:9" x14ac:dyDescent="0.3">
      <c r="A24" s="1"/>
      <c r="C24" s="49">
        <f>DATE($D$6,11,1)</f>
        <v>46327</v>
      </c>
      <c r="D24" s="64">
        <v>5000</v>
      </c>
      <c r="E24" s="50">
        <f t="shared" si="0"/>
        <v>5000</v>
      </c>
      <c r="F24" s="51">
        <f t="shared" si="1"/>
        <v>0</v>
      </c>
    </row>
    <row r="25" spans="1:9" x14ac:dyDescent="0.3">
      <c r="A25" s="1"/>
      <c r="C25" s="49">
        <f>DATE($D$6,12,1)</f>
        <v>46357</v>
      </c>
      <c r="D25" s="64">
        <v>5000</v>
      </c>
      <c r="E25" s="50">
        <f t="shared" si="0"/>
        <v>5000</v>
      </c>
      <c r="F25" s="51">
        <f t="shared" si="1"/>
        <v>0</v>
      </c>
    </row>
    <row r="26" spans="1:9" x14ac:dyDescent="0.3">
      <c r="A26" s="1"/>
      <c r="C26" s="52" t="s">
        <v>91</v>
      </c>
      <c r="D26" s="53">
        <f>SUM(D14:D25)</f>
        <v>57000</v>
      </c>
      <c r="E26" s="53">
        <f>$D$8</f>
        <v>60000</v>
      </c>
      <c r="F26" s="54">
        <f>SUM(F14:F25)</f>
        <v>3000</v>
      </c>
    </row>
    <row r="27" spans="1:9" x14ac:dyDescent="0.3">
      <c r="A27" s="1"/>
    </row>
    <row r="28" spans="1:9" ht="18" x14ac:dyDescent="0.35">
      <c r="A28" s="1"/>
      <c r="C28" s="25" t="s">
        <v>105</v>
      </c>
      <c r="H28" s="26" t="s">
        <v>92</v>
      </c>
      <c r="I28" s="29" t="str">
        <f>IF(D26&gt;E26,"ACIMA DO LIMITE DE ISENÇÃO","DENTRO DO LIMITE DE ISENÇÃO")</f>
        <v>DENTRO DO LIMITE DE ISENÇÃO</v>
      </c>
    </row>
    <row r="29" spans="1:9" x14ac:dyDescent="0.3">
      <c r="A29" s="1"/>
      <c r="C29" s="79" t="s">
        <v>93</v>
      </c>
      <c r="D29" s="79"/>
      <c r="E29" s="79"/>
      <c r="G29" s="31"/>
      <c r="H29" s="31"/>
      <c r="I29" s="31"/>
    </row>
    <row r="30" spans="1:9" x14ac:dyDescent="0.3">
      <c r="A30" s="1"/>
      <c r="G30" s="31"/>
      <c r="H30" s="31"/>
      <c r="I30" s="31"/>
    </row>
    <row r="31" spans="1:9" x14ac:dyDescent="0.3">
      <c r="A31" s="1"/>
      <c r="C31" s="80" t="s">
        <v>94</v>
      </c>
      <c r="D31" s="80"/>
      <c r="E31" s="80"/>
      <c r="F31" s="31"/>
      <c r="G31" s="31"/>
      <c r="H31" s="31"/>
    </row>
    <row r="32" spans="1:9" x14ac:dyDescent="0.3">
      <c r="A32" s="1"/>
      <c r="C32" s="55" t="s">
        <v>69</v>
      </c>
      <c r="D32" s="56" t="s">
        <v>95</v>
      </c>
      <c r="E32" s="57" t="s">
        <v>70</v>
      </c>
    </row>
    <row r="33" spans="1:5" x14ac:dyDescent="0.3">
      <c r="A33" s="1"/>
      <c r="C33" s="58" t="s">
        <v>96</v>
      </c>
      <c r="D33" s="65"/>
      <c r="E33" s="67"/>
    </row>
    <row r="34" spans="1:5" x14ac:dyDescent="0.3">
      <c r="A34" s="1"/>
      <c r="C34" s="58" t="s">
        <v>97</v>
      </c>
      <c r="D34" s="65"/>
      <c r="E34" s="67"/>
    </row>
    <row r="35" spans="1:5" x14ac:dyDescent="0.3">
      <c r="A35" s="1"/>
      <c r="C35" s="58" t="s">
        <v>98</v>
      </c>
      <c r="D35" s="65"/>
      <c r="E35" s="67"/>
    </row>
    <row r="36" spans="1:5" x14ac:dyDescent="0.3">
      <c r="A36" s="1"/>
      <c r="C36" s="58" t="s">
        <v>99</v>
      </c>
      <c r="D36" s="65"/>
      <c r="E36" s="67"/>
    </row>
    <row r="37" spans="1:5" x14ac:dyDescent="0.3">
      <c r="A37" s="1"/>
      <c r="C37" s="59" t="s">
        <v>100</v>
      </c>
      <c r="D37" s="66"/>
      <c r="E37" s="68"/>
    </row>
    <row r="38" spans="1:5" x14ac:dyDescent="0.3">
      <c r="A38" s="1"/>
      <c r="C38" s="28" t="s">
        <v>82</v>
      </c>
      <c r="D38" s="24"/>
      <c r="E38" s="30">
        <f>SUM(E33:E37)</f>
        <v>0</v>
      </c>
    </row>
    <row r="39" spans="1:5" x14ac:dyDescent="0.3">
      <c r="A39" s="1"/>
      <c r="C39" s="82" t="s">
        <v>101</v>
      </c>
      <c r="D39" s="82"/>
      <c r="E39" s="82"/>
    </row>
    <row r="40" spans="1:5" x14ac:dyDescent="0.3">
      <c r="A40" s="1"/>
      <c r="C40" s="82"/>
      <c r="D40" s="82"/>
      <c r="E40" s="82"/>
    </row>
    <row r="41" spans="1:5" ht="14.4" customHeight="1" x14ac:dyDescent="0.3">
      <c r="A41" s="1"/>
      <c r="C41" s="82"/>
      <c r="D41" s="82"/>
      <c r="E41" s="82"/>
    </row>
    <row r="42" spans="1:5" x14ac:dyDescent="0.3">
      <c r="A42" s="1"/>
      <c r="C42" s="82"/>
      <c r="D42" s="82"/>
      <c r="E42" s="82"/>
    </row>
    <row r="43" spans="1:5" x14ac:dyDescent="0.3">
      <c r="A43" s="1"/>
    </row>
    <row r="44" spans="1:5" x14ac:dyDescent="0.3">
      <c r="A44" s="1"/>
    </row>
    <row r="45" spans="1:5" x14ac:dyDescent="0.3">
      <c r="A45" s="1"/>
    </row>
    <row r="46" spans="1:5" x14ac:dyDescent="0.3">
      <c r="A46" s="1"/>
    </row>
    <row r="47" spans="1:5" x14ac:dyDescent="0.3">
      <c r="A47" s="1"/>
    </row>
    <row r="48" spans="1:5" x14ac:dyDescent="0.3">
      <c r="A48" s="1"/>
    </row>
    <row r="49" spans="1:15" x14ac:dyDescent="0.3">
      <c r="A49" s="1"/>
      <c r="M49" s="32"/>
      <c r="N49" s="32"/>
      <c r="O49" s="32"/>
    </row>
    <row r="50" spans="1:15" x14ac:dyDescent="0.3">
      <c r="A50" s="1"/>
      <c r="M50" s="32"/>
      <c r="N50" s="32"/>
      <c r="O50" s="32"/>
    </row>
    <row r="51" spans="1:15" x14ac:dyDescent="0.3">
      <c r="A51" s="1"/>
      <c r="M51" s="32"/>
      <c r="N51" s="32"/>
      <c r="O51" s="32"/>
    </row>
    <row r="52" spans="1:15" x14ac:dyDescent="0.3">
      <c r="A52" s="1"/>
      <c r="M52" s="32"/>
      <c r="N52" s="32"/>
      <c r="O52" s="32"/>
    </row>
    <row r="53" spans="1:15" x14ac:dyDescent="0.3">
      <c r="A53" s="1"/>
    </row>
    <row r="54" spans="1:15" x14ac:dyDescent="0.3">
      <c r="A54" s="1"/>
    </row>
    <row r="55" spans="1:15" x14ac:dyDescent="0.3">
      <c r="A55" s="1"/>
    </row>
    <row r="56" spans="1:15" x14ac:dyDescent="0.3">
      <c r="A56" s="1"/>
    </row>
  </sheetData>
  <sheetProtection sheet="1" selectLockedCells="1"/>
  <mergeCells count="5">
    <mergeCell ref="C4:E4"/>
    <mergeCell ref="C29:E29"/>
    <mergeCell ref="C31:E31"/>
    <mergeCell ref="C12:F12"/>
    <mergeCell ref="C39:E42"/>
  </mergeCells>
  <conditionalFormatting sqref="D14:D26">
    <cfRule type="cellIs" dxfId="6" priority="8" operator="greaterThan">
      <formula>E14</formula>
    </cfRule>
    <cfRule type="cellIs" dxfId="5" priority="9" operator="lessThanOrEqual">
      <formula>E14</formula>
    </cfRule>
  </conditionalFormatting>
  <conditionalFormatting sqref="F14:F25">
    <cfRule type="cellIs" dxfId="4" priority="6" operator="greaterThanOrEqual">
      <formula>1</formula>
    </cfRule>
  </conditionalFormatting>
  <conditionalFormatting sqref="F14:F26">
    <cfRule type="cellIs" dxfId="3" priority="1" operator="lessThan">
      <formula>0</formula>
    </cfRule>
    <cfRule type="cellIs" dxfId="2" priority="2" operator="greaterThan">
      <formula>0</formula>
    </cfRule>
  </conditionalFormatting>
  <conditionalFormatting sqref="I28">
    <cfRule type="expression" dxfId="1" priority="10">
      <formula>D26&gt;E26</formula>
    </cfRule>
    <cfRule type="expression" dxfId="0" priority="11">
      <formula>D26&lt;=E26</formula>
    </cfRule>
  </conditionalFormatting>
  <hyperlinks>
    <hyperlink ref="C10" location="NOTAS!C1" display="&lt;- ANTERIOR" xr:uid="{1B76946A-61C6-4A98-BAFA-0D58422F3708}"/>
  </hyperlink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476CA-17A7-42CB-B376-B4E4ACF61C15}">
  <dimension ref="A1:A35"/>
  <sheetViews>
    <sheetView workbookViewId="0">
      <selection activeCell="E19" sqref="E19"/>
    </sheetView>
  </sheetViews>
  <sheetFormatPr defaultRowHeight="14.4" x14ac:dyDescent="0.3"/>
  <cols>
    <col min="1" max="1" width="50.5546875" bestFit="1" customWidth="1"/>
  </cols>
  <sheetData>
    <row r="1" spans="1:1" x14ac:dyDescent="0.3">
      <c r="A1" s="6" t="s">
        <v>25</v>
      </c>
    </row>
    <row r="2" spans="1:1" x14ac:dyDescent="0.3">
      <c r="A2" s="6" t="s">
        <v>26</v>
      </c>
    </row>
    <row r="3" spans="1:1" x14ac:dyDescent="0.3">
      <c r="A3" s="6" t="s">
        <v>27</v>
      </c>
    </row>
    <row r="4" spans="1:1" x14ac:dyDescent="0.3">
      <c r="A4" s="6" t="s">
        <v>28</v>
      </c>
    </row>
    <row r="5" spans="1:1" x14ac:dyDescent="0.3">
      <c r="A5" s="6" t="s">
        <v>29</v>
      </c>
    </row>
    <row r="6" spans="1:1" x14ac:dyDescent="0.3">
      <c r="A6" s="6" t="s">
        <v>30</v>
      </c>
    </row>
    <row r="7" spans="1:1" x14ac:dyDescent="0.3">
      <c r="A7" s="6" t="s">
        <v>31</v>
      </c>
    </row>
    <row r="8" spans="1:1" x14ac:dyDescent="0.3">
      <c r="A8" s="6" t="s">
        <v>32</v>
      </c>
    </row>
    <row r="9" spans="1:1" x14ac:dyDescent="0.3">
      <c r="A9" s="6" t="s">
        <v>33</v>
      </c>
    </row>
    <row r="10" spans="1:1" x14ac:dyDescent="0.3">
      <c r="A10" s="6" t="s">
        <v>34</v>
      </c>
    </row>
    <row r="11" spans="1:1" x14ac:dyDescent="0.3">
      <c r="A11" s="6" t="s">
        <v>35</v>
      </c>
    </row>
    <row r="12" spans="1:1" x14ac:dyDescent="0.3">
      <c r="A12" s="6" t="s">
        <v>36</v>
      </c>
    </row>
    <row r="13" spans="1:1" x14ac:dyDescent="0.3">
      <c r="A13" s="6" t="s">
        <v>37</v>
      </c>
    </row>
    <row r="14" spans="1:1" x14ac:dyDescent="0.3">
      <c r="A14" s="6" t="s">
        <v>38</v>
      </c>
    </row>
    <row r="15" spans="1:1" x14ac:dyDescent="0.3">
      <c r="A15" s="6" t="s">
        <v>39</v>
      </c>
    </row>
    <row r="16" spans="1:1" x14ac:dyDescent="0.3">
      <c r="A16" s="6" t="s">
        <v>40</v>
      </c>
    </row>
    <row r="17" spans="1:1" x14ac:dyDescent="0.3">
      <c r="A17" s="6" t="s">
        <v>41</v>
      </c>
    </row>
    <row r="18" spans="1:1" x14ac:dyDescent="0.3">
      <c r="A18" s="6" t="s">
        <v>42</v>
      </c>
    </row>
    <row r="19" spans="1:1" x14ac:dyDescent="0.3">
      <c r="A19" s="6" t="s">
        <v>43</v>
      </c>
    </row>
    <row r="20" spans="1:1" x14ac:dyDescent="0.3">
      <c r="A20" s="6" t="s">
        <v>44</v>
      </c>
    </row>
    <row r="21" spans="1:1" x14ac:dyDescent="0.3">
      <c r="A21" s="6" t="s">
        <v>45</v>
      </c>
    </row>
    <row r="22" spans="1:1" x14ac:dyDescent="0.3">
      <c r="A22" s="6" t="s">
        <v>46</v>
      </c>
    </row>
    <row r="23" spans="1:1" x14ac:dyDescent="0.3">
      <c r="A23" s="6" t="s">
        <v>47</v>
      </c>
    </row>
    <row r="24" spans="1:1" x14ac:dyDescent="0.3">
      <c r="A24" s="6" t="s">
        <v>48</v>
      </c>
    </row>
    <row r="25" spans="1:1" x14ac:dyDescent="0.3">
      <c r="A25" s="6" t="s">
        <v>49</v>
      </c>
    </row>
    <row r="26" spans="1:1" x14ac:dyDescent="0.3">
      <c r="A26" s="6" t="s">
        <v>50</v>
      </c>
    </row>
    <row r="27" spans="1:1" x14ac:dyDescent="0.3">
      <c r="A27" s="6" t="s">
        <v>51</v>
      </c>
    </row>
    <row r="28" spans="1:1" x14ac:dyDescent="0.3">
      <c r="A28" s="6" t="s">
        <v>52</v>
      </c>
    </row>
    <row r="29" spans="1:1" x14ac:dyDescent="0.3">
      <c r="A29" s="6" t="s">
        <v>53</v>
      </c>
    </row>
    <row r="30" spans="1:1" x14ac:dyDescent="0.3">
      <c r="A30" s="6" t="s">
        <v>54</v>
      </c>
    </row>
    <row r="31" spans="1:1" x14ac:dyDescent="0.3">
      <c r="A31" s="6" t="s">
        <v>55</v>
      </c>
    </row>
    <row r="32" spans="1:1" x14ac:dyDescent="0.3">
      <c r="A32" s="6" t="s">
        <v>56</v>
      </c>
    </row>
    <row r="33" spans="1:1" x14ac:dyDescent="0.3">
      <c r="A33" s="6" t="s">
        <v>57</v>
      </c>
    </row>
    <row r="34" spans="1:1" x14ac:dyDescent="0.3">
      <c r="A34" s="6" t="s">
        <v>58</v>
      </c>
    </row>
    <row r="35" spans="1:1" x14ac:dyDescent="0.3">
      <c r="A35" s="6" t="s">
        <v>59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TITULAR</vt:lpstr>
      <vt:lpstr>INFORMES</vt:lpstr>
      <vt:lpstr>NOTAS</vt:lpstr>
      <vt:lpstr>IR</vt:lpstr>
      <vt:lpstr>Planilha5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Takara</dc:creator>
  <cp:lastModifiedBy>Carlos Takara</cp:lastModifiedBy>
  <dcterms:created xsi:type="dcterms:W3CDTF">2026-09-04T23:39:38Z</dcterms:created>
  <dcterms:modified xsi:type="dcterms:W3CDTF">2026-09-08T15:13:10Z</dcterms:modified>
</cp:coreProperties>
</file>