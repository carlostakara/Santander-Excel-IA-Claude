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DIO\ANALISE DE DADOS\dashboard Xbox\"/>
    </mc:Choice>
  </mc:AlternateContent>
  <xr:revisionPtr revIDLastSave="0" documentId="13_ncr:1_{092ED606-61B9-48B0-A7DD-1ADD5F44C596}" xr6:coauthVersionLast="47" xr6:coauthVersionMax="47" xr10:uidLastSave="{00000000-0000-0000-0000-000000000000}"/>
  <bookViews>
    <workbookView xWindow="2868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3" l="1"/>
  <c r="F24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<sst xmlns="http://schemas.openxmlformats.org/spreadsheetml/2006/main" count="2023" uniqueCount="325">
  <si>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</si>
  <si>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</si>
  <si>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</si>
  <si>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</si>
  <si>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</si>
  <si>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</si>
  <si>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</si>
  <si>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</si>
  <si>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</si>
  <si>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</si>
  <si>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</si>
  <si>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</si>
  <si>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</si>
  <si>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</si>
  <si>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</si>
  <si>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</si>
  <si>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</si>
  <si>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</si>
  <si>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</si>
  <si>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</si>
  <si>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</si>
  <si>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</si>
  <si>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</si>
  <si>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</si>
  <si>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</si>
  <si>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</si>
  <si>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</si>
  <si>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</si>
  <si>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</si>
  <si>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</si>
  <si>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</si>
  <si>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</si>
  <si>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</si>
  <si>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</si>
  <si>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</si>
  <si>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</si>
  <si>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</si>
  <si>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</si>
  <si>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</si>
  <si>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</si>
  <si>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</si>
  <si>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</si>
  <si>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</si>
  <si>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</si>
  <si>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</si>
  <si>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</si>
  <si>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</si>
  <si>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</si>
  <si>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</si>
  <si>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</si>
  <si>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</si>
  <si>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</si>
  <si>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</si>
  <si>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</si>
  <si>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</si>
  <si>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</si>
  <si>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</si>
  <si>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</si>
  <si>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</si>
  <si>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</si>
  <si>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</si>
  <si>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</si>
  <si>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</si>
  <si>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</si>
  <si>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</si>
  <si>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</si>
  <si>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</si>
  <si>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</si>
  <si>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</si>
  <si>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</si>
  <si>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</si>
  <si>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</si>
  <si>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</si>
  <si>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</si>
  <si>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</si>
  <si>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</si>
  <si>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</si>
  <si>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</si>
  <si>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</si>
  <si>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</si>
  <si>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</si>
  <si>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</si>
  <si>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</si>
  <si>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</si>
  <si>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</si>
  <si>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</si>
  <si>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</si>
  <si>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</si>
  <si>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</si>
  <si>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</si>
  <si>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</si>
  <si>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</si>
  <si>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</si>
  <si>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</si>
  <si>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</si>
  <si>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</si>
  <si>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</si>
  <si>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</si>
  <si>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</si>
  <si>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</si>
  <si>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</si>
  <si>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</si>
  <si>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</si>
  <si>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</si>
  <si>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</si>
  <si>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</si>
  <si>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</si>
  <si>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</si>
  <si>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</si>
  <si>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</si>
  <si>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</si>
  <si>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</si>
  <si>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</si>
  <si>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</si>
  <si>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</si>
  <si>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</si>
  <si>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</si>
  <si>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</si>
  <si>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</si>
  <si>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</si>
  <si>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</si>
  <si>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</si>
  <si>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</si>
  <si>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</si>
  <si>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</si>
  <si>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</si>
  <si>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</si>
  <si>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</si>
  <si>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</si>
  <si>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</si>
  <si>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</si>
  <si>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</si>
  <si>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</si>
  <si>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</si>
  <si>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</si>
  <si>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</si>
  <si>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</si>
  <si>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</si>
  <si>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</si>
  <si>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</si>
  <si>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</si>
  <si>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</si>
  <si>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</si>
  <si>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</si>
  <si>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</si>
  <si>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</si>
  <si>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</si>
  <si>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</si>
  <si>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</si>
  <si>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</si>
  <si>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</si>
  <si>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</si>
  <si>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</si>
  <si>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</si>
  <si>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</si>
  <si>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</si>
  <si>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</si>
  <si>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</si>
  <si>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</si>
  <si>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</si>
  <si>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</si>
  <si>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</si>
  <si>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</si>
  <si>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</si>
  <si>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</si>
  <si>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</si>
  <si>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</si>
  <si>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</si>
  <si>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</si>
  <si>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</si>
  <si>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</si>
  <si>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</si>
  <si>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</si>
  <si>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</si>
  <si>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</si>
  <si>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</si>
  <si>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</si>
  <si>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</si>
  <si>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</si>
  <si>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</si>
  <si>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</si>
  <si>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</si>
  <si>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</si>
  <si>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</si>
  <si>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</si>
  <si>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</si>
  <si>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</si>
  <si>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</si>
  <si>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</si>
  <si>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</si>
  <si>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</si>
  <si>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</si>
  <si>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</si>
  <si>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</si>
  <si>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</si>
  <si>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</si>
  <si>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</si>
  <si>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</si>
  <si>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</si>
  <si>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</si>
  <si>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</si>
  <si>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</si>
  <si>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</si>
  <si>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</si>
  <si>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</si>
  <si>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</si>
  <si>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</si>
  <si>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</si>
  <si>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</si>
  <si>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</si>
  <si>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</si>
  <si>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</si>
  <si>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</si>
  <si>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</si>
  <si>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</si>
  <si>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</si>
  <si>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</si>
  <si>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</si>
  <si>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</si>
  <si>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</si>
  <si>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</si>
  <si>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</si>
  <si>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</si>
  <si>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</si>
  <si>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</si>
  <si>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</si>
  <si>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</si>
  <si>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</si>
  <si>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</si>
  <si>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</si>
  <si>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</si>
  <si>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</si>
  <si>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</si>
  <si>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</si>
  <si>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</si>
  <si>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</si>
  <si>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</si>
  <si>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</si>
  <si>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</si>
  <si>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</si>
  <si>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</si>
  <si>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</si>
  <si>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</si>
  <si>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</si>
  <si>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</si>
  <si>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</si>
  <si>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</si>
  <si>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</si>
  <si>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</si>
  <si>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</si>
  <si>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</si>
  <si>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</si>
  <si>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</si>
  <si>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</si>
  <si>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</si>
  <si>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</si>
  <si>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</si>
  <si>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</si>
  <si>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</si>
  <si>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</si>
  <si>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</si>
  <si>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</si>
  <si>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</si>
  <si>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</si>
  <si>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</si>
  <si>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</si>
  <si>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</si>
  <si>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</si>
  <si>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</si>
  <si>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</si>
  <si>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</si>
  <si>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</si>
  <si>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</si>
  <si>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</si>
  <si>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</si>
  <si>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</si>
  <si>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</si>
  <si>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</si>
  <si>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</si>
  <si>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</si>
  <si>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</si>
  <si>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</si>
  <si>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</si>
  <si>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</si>
  <si>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</si>
  <si>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</si>
  <si>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</si>
  <si>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</si>
  <si>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</si>
  <si>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</si>
  <si>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</si>
  <si>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</si>
  <si>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</si>
  <si>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</si>
  <si>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</si>
  <si>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</si>
  <si>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</si>
  <si>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</si>
  <si>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</si>
  <si>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</si>
  <si>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</si>
  <si>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</si>
  <si>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</si>
  <si>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</si>
  <si>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</si>
  <si>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</si>
  <si>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</si>
  <si>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</si>
  <si>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</si>
  <si>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</si>
  <si>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</si>
  <si>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</si>
  <si>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</si>
  <si>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</si>
  <si>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</si>
  <si>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</si>
  <si>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por auto renovação</t>
    </r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</si>
  <si>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</si>
  <si>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t>É uma pergunta de negócio respondida através de alguma análise de dado específica</t>
  </si>
  <si>
    <t>XBOX GAME PASS SUBSCRIPTIONS SALES</t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</si>
  <si>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assinaturas</t>
    </r>
    <r>
      <rPr>
        <sz val="11"/>
        <color theme="1"/>
        <rFont val="Aptos Narrow"/>
        <family val="2"/>
        <scheme val="minor"/>
      </rPr>
      <t xml:space="preserve"> do EA Play</t>
    </r>
  </si>
  <si>
    <t>Soma de EA Play Season Pass</t>
  </si>
  <si>
    <t>Pergunta de Negócio 4 - Total de Vendas de Assinaturas do Minecraft Seasons Pass</t>
  </si>
  <si>
    <t>Soma de Minecraft Season Pass Price</t>
  </si>
  <si>
    <t>Calculation period: 01/01/2024 - 31/12/2024 | Update date: 16/09/2026 18:45:00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</si>
</sst>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9BC848"/>
      <name val="Segoe UI"/>
      <family val="2"/>
    </font>
    <font>
      <sz val="11"/>
      <color theme="0" tint="-0.3499862666707357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0" xfId="0" applyFill="1" applyAlignment="1">
      <alignment horizontal="center"/>
    </xf>
    <xf numFmtId="0" fontId="4" fillId="9" borderId="2" xfId="1" applyFont="1" applyFill="1" applyBorder="1" applyAlignment="1"/>
    <xf numFmtId="0" fontId="4" fillId="9" borderId="2" xfId="1" applyFont="1" applyFill="1" applyBorder="1" applyAlignment="1">
      <alignment horizontal="left" indent="3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8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2"/>
        <color theme="1"/>
      </font>
      <fill>
        <patternFill>
          <bgColor rgb="FF9BC848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9BC84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1BDB5F2-116E-4446-A6C0-96B2C3DB170A}">
      <tableStyleElement type="wholeTable" dxfId="27"/>
      <tableStyleElement type="headerRow" dxfId="26"/>
    </tableStyle>
  </tableStyles>
  <colors>
    <mruColors>
      <color rgb="FF9BC848"/>
      <color rgb="FF5BF6A8"/>
      <color rgb="FF2AE6B1"/>
      <color rgb="FFE8E6E9"/>
      <color rgb="FF22C55E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[1 - dashboard xbox.xlsx]C̳álculos!tbl_annual_total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711862832698743E-2"/>
          <c:y val="2.0073386632240741E-2"/>
          <c:w val="0.69486329833770777"/>
          <c:h val="0.884926140711519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9BC84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C̳álculos!$C$12:$C$14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C̳álculos!$D$12:$D$14</c:f>
              <c:numCache>
                <c:formatCode>_-[$R$-416]\ * #,##0.00_-;\-[$R$-416]\ * #,##0.00_-;_-[$R$-416]\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1-4728-AC5B-69F7038E1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331152"/>
        <c:axId val="1657333072"/>
      </c:barChart>
      <c:catAx>
        <c:axId val="16573311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333072"/>
        <c:crosses val="autoZero"/>
        <c:auto val="1"/>
        <c:lblAlgn val="ctr"/>
        <c:lblOffset val="100"/>
        <c:noMultiLvlLbl val="0"/>
      </c:catAx>
      <c:valAx>
        <c:axId val="1657333072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out"/>
        <c:minorTickMark val="none"/>
        <c:tickLblPos val="nextTo"/>
        <c:crossAx val="165733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99058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99058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18573</xdr:colOff>
      <xdr:row>2</xdr:row>
      <xdr:rowOff>97153</xdr:rowOff>
    </xdr:from>
    <xdr:to>
      <xdr:col>2</xdr:col>
      <xdr:colOff>211454</xdr:colOff>
      <xdr:row>3</xdr:row>
      <xdr:rowOff>134302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0C0204-7F0A-47F4-8B7F-CEE6360E5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21027" r="71610" b="24204"/>
        <a:stretch/>
      </xdr:blipFill>
      <xdr:spPr>
        <a:xfrm>
          <a:off x="1970722" y="442911"/>
          <a:ext cx="650081" cy="53721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6668</xdr:rowOff>
    </xdr:from>
    <xdr:to>
      <xdr:col>0</xdr:col>
      <xdr:colOff>1869281</xdr:colOff>
      <xdr:row>18</xdr:row>
      <xdr:rowOff>79058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2DFC7AF-0F64-4F86-8CCC-A1D21EEBB7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58550"/>
              <a:ext cx="1869281" cy="20880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402312</xdr:colOff>
      <xdr:row>7</xdr:row>
      <xdr:rowOff>5238</xdr:rowOff>
    </xdr:from>
    <xdr:to>
      <xdr:col>11</xdr:col>
      <xdr:colOff>440531</xdr:colOff>
      <xdr:row>17</xdr:row>
      <xdr:rowOff>18541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3D364C3-8C64-7030-6308-31A1F2A84AD8}"/>
            </a:ext>
          </a:extLst>
        </xdr:cNvPr>
        <xdr:cNvGrpSpPr/>
      </xdr:nvGrpSpPr>
      <xdr:grpSpPr>
        <a:xfrm>
          <a:off x="2338138" y="1557120"/>
          <a:ext cx="5969697" cy="1850936"/>
          <a:chOff x="2348746" y="1539716"/>
          <a:chExt cx="5973723" cy="1828768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FBD3B605-7709-481F-4771-6E034E6C0112}"/>
              </a:ext>
            </a:extLst>
          </xdr:cNvPr>
          <xdr:cNvSpPr/>
        </xdr:nvSpPr>
        <xdr:spPr>
          <a:xfrm>
            <a:off x="2348746" y="1942624"/>
            <a:ext cx="5970270" cy="1361122"/>
          </a:xfrm>
          <a:prstGeom prst="roundRect">
            <a:avLst>
              <a:gd name="adj" fmla="val 532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noFill/>
              </a:ln>
            </a:endParaRPr>
          </a:p>
        </xdr:txBody>
      </xdr:sp>
      <xdr:sp macro="" textlink="C̳álculos!F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8AF2BDA-90F4-4BB9-9A76-AB0DED5D6A32}"/>
              </a:ext>
            </a:extLst>
          </xdr:cNvPr>
          <xdr:cNvSpPr/>
        </xdr:nvSpPr>
        <xdr:spPr>
          <a:xfrm>
            <a:off x="3079431" y="2152635"/>
            <a:ext cx="4602481" cy="1091565"/>
          </a:xfrm>
          <a:prstGeom prst="roundRect">
            <a:avLst>
              <a:gd name="adj" fmla="val 897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C7A7E59-41BE-4DFD-83D9-43DB5B38B699}" type="TxLink">
              <a:rPr lang="en-US" sz="4000" b="0" i="0" u="none" strike="noStrike">
                <a:ln>
                  <a:noFill/>
                </a:ln>
                <a:solidFill>
                  <a:srgbClr val="5BF6A8"/>
                </a:solidFill>
                <a:latin typeface="Aptos Narrow"/>
              </a:rPr>
              <a:pPr algn="ctr"/>
              <a:t> R$ 990,00 </a:t>
            </a:fld>
            <a:endParaRPr lang="pt-BR" sz="4000">
              <a:ln>
                <a:noFill/>
              </a:ln>
              <a:solidFill>
                <a:srgbClr val="5BF6A8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39C726EC-F734-4568-A579-1F8D80E58F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45069" y="2035970"/>
            <a:ext cx="1393985" cy="1332514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FF121899-D394-BCCE-5514-2A547C467B55}"/>
              </a:ext>
            </a:extLst>
          </xdr:cNvPr>
          <xdr:cNvSpPr/>
        </xdr:nvSpPr>
        <xdr:spPr>
          <a:xfrm>
            <a:off x="2357437" y="1539716"/>
            <a:ext cx="5965032" cy="401003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PLAYS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12</xdr:col>
      <xdr:colOff>515302</xdr:colOff>
      <xdr:row>7</xdr:row>
      <xdr:rowOff>5238</xdr:rowOff>
    </xdr:from>
    <xdr:to>
      <xdr:col>22</xdr:col>
      <xdr:colOff>16312</xdr:colOff>
      <xdr:row>16</xdr:row>
      <xdr:rowOff>119578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F6F314C5-CC02-DB9E-E92D-48AE39D9C665}"/>
            </a:ext>
          </a:extLst>
        </xdr:cNvPr>
        <xdr:cNvGrpSpPr/>
      </xdr:nvGrpSpPr>
      <xdr:grpSpPr>
        <a:xfrm>
          <a:off x="8832878" y="1557120"/>
          <a:ext cx="5968312" cy="1768227"/>
          <a:chOff x="8842057" y="1549241"/>
          <a:chExt cx="5968009" cy="1747401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9135D602-7494-4174-B5F9-2594340C92F4}"/>
              </a:ext>
            </a:extLst>
          </xdr:cNvPr>
          <xdr:cNvGrpSpPr/>
        </xdr:nvGrpSpPr>
        <xdr:grpSpPr>
          <a:xfrm>
            <a:off x="8845867" y="1549241"/>
            <a:ext cx="5960389" cy="1751211"/>
            <a:chOff x="2348750" y="1539716"/>
            <a:chExt cx="5973719" cy="1756474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EB032F0D-B90E-0471-8D50-E8E892B03317}"/>
                </a:ext>
              </a:extLst>
            </xdr:cNvPr>
            <xdr:cNvSpPr/>
          </xdr:nvSpPr>
          <xdr:spPr>
            <a:xfrm>
              <a:off x="2348750" y="1936484"/>
              <a:ext cx="5970270" cy="1359706"/>
            </a:xfrm>
            <a:prstGeom prst="roundRect">
              <a:avLst>
                <a:gd name="adj" fmla="val 532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>
                  <a:noFill/>
                </a:ln>
              </a:endParaRPr>
            </a:p>
          </xdr:txBody>
        </xdr:sp>
        <xdr:sp macro="" textlink="C̳álculos!F35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271AD28E-0B7C-ADE5-1E86-08C58F538B2B}"/>
                </a:ext>
              </a:extLst>
            </xdr:cNvPr>
            <xdr:cNvSpPr/>
          </xdr:nvSpPr>
          <xdr:spPr>
            <a:xfrm>
              <a:off x="3079431" y="2152635"/>
              <a:ext cx="4602481" cy="1091565"/>
            </a:xfrm>
            <a:prstGeom prst="roundRect">
              <a:avLst>
                <a:gd name="adj" fmla="val 897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CCF8375-CA44-48A6-8080-720B4EEED543}" type="TxLink">
                <a:rPr lang="en-US" sz="4000" b="0" i="0" u="none" strike="noStrike">
                  <a:ln>
                    <a:noFill/>
                  </a:ln>
                  <a:solidFill>
                    <a:srgbClr val="5BF6A8"/>
                  </a:solidFill>
                  <a:latin typeface="Aptos Narrow"/>
                </a:rPr>
                <a:t> R$ 1.140,00 </a:t>
              </a:fld>
              <a:endParaRPr lang="pt-BR" sz="4000">
                <a:ln>
                  <a:noFill/>
                </a:ln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8330B966-4434-C2A7-24AB-7568F511250E}"/>
                </a:ext>
              </a:extLst>
            </xdr:cNvPr>
            <xdr:cNvSpPr/>
          </xdr:nvSpPr>
          <xdr:spPr>
            <a:xfrm>
              <a:off x="2357437" y="1539716"/>
              <a:ext cx="5965032" cy="401003"/>
            </a:xfrm>
            <a:prstGeom prst="round2SameRect">
              <a:avLst/>
            </a:prstGeom>
            <a:solidFill>
              <a:srgbClr val="9BC84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EA PLAYS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8741F4FB-BD82-4D11-8127-3833CCCFEB52}"/>
              </a:ext>
            </a:extLst>
          </xdr:cNvPr>
          <xdr:cNvGrpSpPr/>
        </xdr:nvGrpSpPr>
        <xdr:grpSpPr>
          <a:xfrm>
            <a:off x="8976835" y="2219801"/>
            <a:ext cx="1547571" cy="70294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996C969C-A565-2793-1ACC-322EADB2CF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8593A929-5198-2E77-AA12-0D9D25C080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339263</xdr:colOff>
      <xdr:row>17</xdr:row>
      <xdr:rowOff>99320</xdr:rowOff>
    </xdr:from>
    <xdr:to>
      <xdr:col>23</xdr:col>
      <xdr:colOff>114471</xdr:colOff>
      <xdr:row>41</xdr:row>
      <xdr:rowOff>86467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4A30C294-E306-7C64-6BD7-C78F7D9FA680}"/>
            </a:ext>
          </a:extLst>
        </xdr:cNvPr>
        <xdr:cNvGrpSpPr/>
      </xdr:nvGrpSpPr>
      <xdr:grpSpPr>
        <a:xfrm>
          <a:off x="2278899" y="3481215"/>
          <a:ext cx="13222777" cy="4357043"/>
          <a:chOff x="2268383" y="3710314"/>
          <a:chExt cx="13229745" cy="4262112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3192B9A9-5EF3-8AFF-7D56-6477E74E09B6}"/>
              </a:ext>
            </a:extLst>
          </xdr:cNvPr>
          <xdr:cNvGrpSpPr/>
        </xdr:nvGrpSpPr>
        <xdr:grpSpPr>
          <a:xfrm>
            <a:off x="2295288" y="4010623"/>
            <a:ext cx="13202840" cy="3961803"/>
            <a:chOff x="2654345" y="1740739"/>
            <a:chExt cx="5605646" cy="37554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BB2A6115-95B8-AC44-8E94-B83ED2D13517}"/>
                </a:ext>
              </a:extLst>
            </xdr:cNvPr>
            <xdr:cNvSpPr/>
          </xdr:nvSpPr>
          <xdr:spPr>
            <a:xfrm>
              <a:off x="2654345" y="1740739"/>
              <a:ext cx="5318760" cy="3402987"/>
            </a:xfrm>
            <a:prstGeom prst="roundRect">
              <a:avLst>
                <a:gd name="adj" fmla="val 4747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D3E4F79-6A08-4872-9227-A7809D7DA9EB}"/>
                </a:ext>
              </a:extLst>
            </xdr:cNvPr>
            <xdr:cNvGraphicFramePr>
              <a:graphicFrameLocks/>
            </xdr:cNvGraphicFramePr>
          </xdr:nvGraphicFramePr>
          <xdr:xfrm>
            <a:off x="2866143" y="1951394"/>
            <a:ext cx="5393848" cy="35447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F155C1D6-2745-4D5E-8891-57ACA8F55755}"/>
              </a:ext>
            </a:extLst>
          </xdr:cNvPr>
          <xdr:cNvSpPr/>
        </xdr:nvSpPr>
        <xdr:spPr>
          <a:xfrm>
            <a:off x="2268383" y="3710314"/>
            <a:ext cx="12551184" cy="391677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</a:p>
        </xdr:txBody>
      </xdr:sp>
    </xdr:grpSp>
    <xdr:clientData/>
  </xdr:twoCellAnchor>
  <xdr:twoCellAnchor>
    <xdr:from>
      <xdr:col>0</xdr:col>
      <xdr:colOff>571500</xdr:colOff>
      <xdr:row>0</xdr:row>
      <xdr:rowOff>150971</xdr:rowOff>
    </xdr:from>
    <xdr:to>
      <xdr:col>0</xdr:col>
      <xdr:colOff>1266825</xdr:colOff>
      <xdr:row>2</xdr:row>
      <xdr:rowOff>460533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97B3C533-5E1E-49F8-80C5-92B980266AB7}"/>
            </a:ext>
          </a:extLst>
        </xdr:cNvPr>
        <xdr:cNvSpPr/>
      </xdr:nvSpPr>
      <xdr:spPr>
        <a:xfrm>
          <a:off x="571500" y="150971"/>
          <a:ext cx="695325" cy="6667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233838</xdr:colOff>
      <xdr:row>3</xdr:row>
      <xdr:rowOff>11907</xdr:rowOff>
    </xdr:from>
    <xdr:to>
      <xdr:col>0</xdr:col>
      <xdr:colOff>1599723</xdr:colOff>
      <xdr:row>3</xdr:row>
      <xdr:rowOff>234315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A5A38AE9-6D9B-A494-6218-91CA6A99CC75}"/>
            </a:ext>
          </a:extLst>
        </xdr:cNvPr>
        <xdr:cNvSpPr txBox="1"/>
      </xdr:nvSpPr>
      <xdr:spPr>
        <a:xfrm>
          <a:off x="233838" y="869157"/>
          <a:ext cx="1365885" cy="222408"/>
        </a:xfrm>
        <a:prstGeom prst="rect">
          <a:avLst/>
        </a:prstGeom>
        <a:solidFill>
          <a:srgbClr val="9BC84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WELCOME,</a:t>
          </a:r>
          <a:r>
            <a:rPr lang="pt-BR" sz="9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TAKARA!</a:t>
          </a:r>
          <a:endParaRPr lang="pt-BR" sz="9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kara" refreshedDate="46280.636109490741" createdVersion="8" refreshedVersion="8" minRefreshableVersion="3" recordCount="295" xr:uid="{DCE13D16-B124-48EA-8756-785163A3B7C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202525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27E22-FDB0-4475-AA55-9EC203560381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31:D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F5331-4AD1-498B-AF1E-96D7749ADF3F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0:D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FB7C6-0B8B-4D9B-A46A-599D17B1C884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11:D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11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17A04A4-5FF3-4D1A-B800-4CCF1C361E81}" sourceName="Subscription Type">
  <pivotTables>
    <pivotTable tabId="3" name="tbl_annual_total"/>
    <pivotTable tabId="3" name="tbl_easeasonpass_total"/>
    <pivotTable tabId="3" name="Tabela dinâmica2"/>
  </pivotTables>
  <data>
    <tabular pivotCacheId="42025257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83BF5AB-F9F6-4A3E-B9B7-2311BAC85958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5">
  <autoFilter ref="A1:M296" xr:uid="{34E0E886-4200-4B36-97B3-63DB74FF40A0}"/>
  <tableColumns count="13">
    <tableColumn id="1" xr3:uid="{C4A90516-688A-46BF-9167-EA16C2A8A652}" name="Subscriber ID" dataDxfId="24"/>
    <tableColumn id="2" xr3:uid="{53DD39D0-2220-4121-9E9D-4EAA7E151C0F}" name="Name" dataDxfId="23"/>
    <tableColumn id="3" xr3:uid="{4F5FF271-4C57-4BE0-8F2C-F82C8551625C}" name="Plan" dataDxfId="22"/>
    <tableColumn id="4" xr3:uid="{8C17EB93-79B9-4E55-B8F7-BEB82F8253E9}" name="Start Date" dataDxfId="21"/>
    <tableColumn id="5" xr3:uid="{48CEDF9B-1689-482A-A828-5CCE7713264A}" name="Auto Renewal" dataDxfId="20"/>
    <tableColumn id="6" xr3:uid="{78B82374-9AA7-4E38-AE4F-78CDE6C83720}" name="Subscription Price" dataDxfId="19" dataCellStyle="Moeda"/>
    <tableColumn id="7" xr3:uid="{F2433F68-AF33-49D0-B1FB-19A396074EDE}" name="Subscription Type" dataDxfId="18"/>
    <tableColumn id="8" xr3:uid="{FD4D9C95-F6E5-4933-9068-A71FF7DF9343}" name="EA Play Season Pass" dataDxfId="17"/>
    <tableColumn id="13" xr3:uid="{978DD0D2-834E-4CE4-A39B-30976086932F}" name="EA Play Season Pass_x000a_Price" dataDxfId="16" dataCellStyle="Moeda"/>
    <tableColumn id="9" xr3:uid="{6E29F111-C395-4580-9DAD-3407D9E8B1A4}" name="Minecraft Season Pass" dataDxfId="15"/>
    <tableColumn id="10" xr3:uid="{EF544EAA-7F25-4FD5-A10E-8E62804DB9E3}" name="Minecraft Season Pass Price" dataDxfId="14" dataCellStyle="Moeda"/>
    <tableColumn id="11" xr3:uid="{7F6EB64A-1F07-4E48-9F0F-AC7D9DCD26F8}" name="Coupon Value" dataDxfId="13" dataCellStyle="Moeda"/>
    <tableColumn id="12" xr3:uid="{2B04ABC8-DE6F-426E-ADC0-D8AFC68CA58E}" name="Total Value" dataDxfId="1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1" sqref="I1:I104857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2:G35"/>
  <sheetViews>
    <sheetView showGridLines="0" topLeftCell="A7" workbookViewId="0">
      <selection activeCell="F35" sqref="F35"/>
    </sheetView>
  </sheetViews>
  <sheetFormatPr defaultRowHeight="14.4" x14ac:dyDescent="0.3"/>
  <cols>
    <col min="3" max="3" width="17.88671875" bestFit="1" customWidth="1"/>
    <col min="4" max="4" width="34.109375" bestFit="1" customWidth="1"/>
    <col min="5" max="5" width="36.6640625" bestFit="1" customWidth="1"/>
    <col min="6" max="6" width="11.886718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3:7" x14ac:dyDescent="0.3">
      <c r="C2" s="15" t="s">
        <v>318</v>
      </c>
      <c r="D2" s="15"/>
      <c r="E2" s="15"/>
      <c r="F2" s="15"/>
      <c r="G2" s="15"/>
    </row>
    <row r="4" spans="3:7" x14ac:dyDescent="0.3">
      <c r="C4" t="s">
        <v>317</v>
      </c>
    </row>
    <row r="5" spans="3:7" x14ac:dyDescent="0.3">
      <c r="C5" t="s">
        <v>316</v>
      </c>
    </row>
    <row r="9" spans="3:7" x14ac:dyDescent="0.3">
      <c r="C9" s="12" t="s">
        <v>16</v>
      </c>
      <c r="D9" t="s">
        <v>27</v>
      </c>
    </row>
    <row r="11" spans="3:7" x14ac:dyDescent="0.3">
      <c r="C11" s="12" t="s">
        <v>313</v>
      </c>
      <c r="D11" t="s">
        <v>315</v>
      </c>
    </row>
    <row r="12" spans="3:7" x14ac:dyDescent="0.3">
      <c r="C12" s="13" t="s">
        <v>23</v>
      </c>
      <c r="D12" s="14">
        <v>806</v>
      </c>
    </row>
    <row r="13" spans="3:7" x14ac:dyDescent="0.3">
      <c r="C13" s="13" t="s">
        <v>19</v>
      </c>
      <c r="D13" s="14">
        <v>1502</v>
      </c>
    </row>
    <row r="14" spans="3:7" x14ac:dyDescent="0.3">
      <c r="C14" s="13" t="s">
        <v>314</v>
      </c>
      <c r="D14" s="14">
        <v>2308</v>
      </c>
    </row>
    <row r="16" spans="3:7" x14ac:dyDescent="0.3">
      <c r="C16" s="13" t="s">
        <v>320</v>
      </c>
    </row>
    <row r="18" spans="3:6" x14ac:dyDescent="0.3">
      <c r="C18" s="12" t="s">
        <v>16</v>
      </c>
      <c r="D18" t="s">
        <v>27</v>
      </c>
    </row>
    <row r="20" spans="3:6" x14ac:dyDescent="0.3">
      <c r="C20" s="12" t="s">
        <v>313</v>
      </c>
      <c r="D20" t="s">
        <v>321</v>
      </c>
    </row>
    <row r="21" spans="3:6" x14ac:dyDescent="0.3">
      <c r="C21" s="13" t="s">
        <v>22</v>
      </c>
      <c r="D21" s="14">
        <v>0</v>
      </c>
    </row>
    <row r="22" spans="3:6" x14ac:dyDescent="0.3">
      <c r="C22" s="13" t="s">
        <v>26</v>
      </c>
      <c r="D22" s="14">
        <v>0</v>
      </c>
    </row>
    <row r="23" spans="3:6" x14ac:dyDescent="0.3">
      <c r="C23" s="13" t="s">
        <v>18</v>
      </c>
      <c r="D23" s="14">
        <v>990</v>
      </c>
    </row>
    <row r="24" spans="3:6" x14ac:dyDescent="0.3">
      <c r="C24" s="13" t="s">
        <v>314</v>
      </c>
      <c r="D24" s="14">
        <v>990</v>
      </c>
      <c r="F24" s="14">
        <f>GETPIVOTDATA("EA Play Season Pass
Price",$C$20)</f>
        <v>990</v>
      </c>
    </row>
    <row r="27" spans="3:6" x14ac:dyDescent="0.3">
      <c r="C27" s="13" t="s">
        <v>322</v>
      </c>
    </row>
    <row r="29" spans="3:6" x14ac:dyDescent="0.3">
      <c r="C29" s="12" t="s">
        <v>16</v>
      </c>
      <c r="D29" t="s">
        <v>27</v>
      </c>
    </row>
    <row r="31" spans="3:6" x14ac:dyDescent="0.3">
      <c r="C31" s="12" t="s">
        <v>313</v>
      </c>
      <c r="D31" t="s">
        <v>323</v>
      </c>
    </row>
    <row r="32" spans="3:6" x14ac:dyDescent="0.3">
      <c r="C32" s="13" t="s">
        <v>22</v>
      </c>
      <c r="D32" s="14">
        <v>0</v>
      </c>
    </row>
    <row r="33" spans="3:6" x14ac:dyDescent="0.3">
      <c r="C33" s="13" t="s">
        <v>26</v>
      </c>
      <c r="D33" s="14">
        <v>480</v>
      </c>
    </row>
    <row r="34" spans="3:6" x14ac:dyDescent="0.3">
      <c r="C34" s="13" t="s">
        <v>18</v>
      </c>
      <c r="D34" s="14">
        <v>660</v>
      </c>
    </row>
    <row r="35" spans="3:6" x14ac:dyDescent="0.3">
      <c r="C35" s="13" t="s">
        <v>314</v>
      </c>
      <c r="D35" s="14">
        <v>1140</v>
      </c>
      <c r="F35" s="14">
        <f>GETPIVOTDATA("Minecraft Season Pass Price",$C$31)</f>
        <v>1140</v>
      </c>
    </row>
  </sheetData>
  <mergeCells count="1">
    <mergeCell ref="C2:G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AH137"/>
  <sheetViews>
    <sheetView showGridLines="0" showRowColHeaders="0" tabSelected="1" zoomScale="110" zoomScaleNormal="110" workbookViewId="0">
      <selection activeCell="L3" sqref="L3"/>
    </sheetView>
  </sheetViews>
  <sheetFormatPr defaultRowHeight="14.4" x14ac:dyDescent="0.3"/>
  <cols>
    <col min="1" max="1" width="28.33203125" style="3" customWidth="1"/>
    <col min="2" max="2" width="6.88671875" customWidth="1"/>
    <col min="12" max="12" width="6.5546875" customWidth="1"/>
    <col min="22" max="22" width="14.5546875" customWidth="1"/>
  </cols>
  <sheetData>
    <row r="3" spans="2:34" ht="39" customHeight="1" thickBot="1" x14ac:dyDescent="0.6">
      <c r="C3" s="17" t="s">
        <v>319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2:34" ht="19.2" customHeight="1" thickTop="1" x14ac:dyDescent="0.3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2:34" ht="4.2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2:34" ht="19.2" customHeight="1" x14ac:dyDescent="0.3">
      <c r="B6" s="7"/>
      <c r="C6" s="18" t="s">
        <v>324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2:34" ht="10.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2:34" ht="12.6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2:34" ht="17.399999999999999" customHeight="1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2:34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2:34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2:34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2:34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2:34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2:34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2:34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2:34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2:34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2:34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2:3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2:3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2:34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2:34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2:34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2:34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2:34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2:34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2:34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2:34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2:34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2:34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2:34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2:34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2:34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2:34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2:34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2:34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2:34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2:34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2:34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2:34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2:34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2:34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2:34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2:34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2:34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2:34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2:34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2:34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2:34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2:34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2:34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2:34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2:34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2:34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2:34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2:34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2:34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2:34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2:34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2:34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2:34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2:34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2:34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2:34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2:34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2:34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2:34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2:34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2:34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2:34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2:34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2:34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2:34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2:34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2:34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2:34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2:34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2:34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2:34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2:34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2:34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2:34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2:34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2:34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2:34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2:34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2:34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2:34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2:34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2:34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2:34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2:34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2:34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2:34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2:34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2:34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2:34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2:34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2:34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2:34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2:34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2:34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2:34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2:34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2:34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2:34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2:34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2:34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2:34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2:34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2:34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2:34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2:34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2:34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2:34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2:34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2:34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2:34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2:34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2:34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2:34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2:34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2:34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2:34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2:34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2:34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2:34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2:34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2:34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2:34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2:34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2:34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2:34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2:34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2:34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2:34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Carlos Takara</cp:lastModifiedBy>
  <dcterms:created xsi:type="dcterms:W3CDTF">2024-12-19T13:13:10Z</dcterms:created>
  <dcterms:modified xsi:type="dcterms:W3CDTF">2026-09-16T22:45:45Z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